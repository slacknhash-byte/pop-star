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List" sheetId="1" state="visible" r:id="rId3"/>
    <sheet name="Lookup tables" sheetId="2" state="visible" r:id="rId4"/>
  </sheets>
  <definedNames>
    <definedName function="false" hidden="false" name="game_events" vbProcedure="false">'Task List'!$A$2:$M499</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<sst xmlns="http://schemas.openxmlformats.org/spreadsheetml/2006/main" count="307" uniqueCount="149">
  <si>
    <t xml:space="preserve">Major Stat</t>
  </si>
  <si>
    <t xml:space="preserve">Minor Stat</t>
  </si>
  <si>
    <t xml:space="preserve">Category</t>
  </si>
  <si>
    <t xml:space="preserve">Subcategory</t>
  </si>
  <si>
    <t xml:space="preserve">Difficulty</t>
  </si>
  <si>
    <t xml:space="preserve">Base success</t>
  </si>
  <si>
    <t xml:space="preserve">Major Reward</t>
  </si>
  <si>
    <t xml:space="preserve">Minor Reward</t>
  </si>
  <si>
    <t xml:space="preserve">Penalty</t>
  </si>
  <si>
    <t xml:space="preserve">Prerequisite</t>
  </si>
  <si>
    <t xml:space="preserve">Description</t>
  </si>
  <si>
    <t xml:space="preserve">Success Description</t>
  </si>
  <si>
    <t xml:space="preserve">Failure Description</t>
  </si>
  <si>
    <t xml:space="preserve">Fame</t>
  </si>
  <si>
    <t xml:space="preserve">Show</t>
  </si>
  <si>
    <t xml:space="preserve">Club</t>
  </si>
  <si>
    <t xml:space="preserve">Easy</t>
  </si>
  <si>
    <t xml:space="preserve">The house band’s lead singer at the Flashlight have all caught a dose of botulism. Here’s a list of songs; go and fill in.</t>
  </si>
  <si>
    <t xml:space="preserve">Nice job! You looked pretty good up there. If they need someone to fill in you’ll be the one to call!</t>
  </si>
  <si>
    <t xml:space="preserve">Oh dear me. Well, we all die on our arse sometimes, but at least it’s on someone else’s billing rather than your own. Onward and upward. Or not, as the case may be…</t>
  </si>
  <si>
    <t xml:space="preserve">Money</t>
  </si>
  <si>
    <t xml:space="preserve">Barry Prunk’s singing at the Velour this Friday. He needs a support act, somehow your name came up.</t>
  </si>
  <si>
    <t xml:space="preserve">Barry Who? Someone stole the show a bit there, didn’t they? Still, at least he took it in his stride. Just don’t be too hurt if he goes for someone cheaper next time.</t>
  </si>
  <si>
    <t xml:space="preserve">Barry Prunk got where he is today by being grateful. And right now… he’s grateful that you made him look good. Even better, in fact. Compared to you he was the Second Coming.</t>
  </si>
  <si>
    <t xml:space="preserve">Fun</t>
  </si>
  <si>
    <t xml:space="preserve">You know the Offload Festival? The one that’s never on at a consistent time? You’ve got a spot on the Wobbly Stage. After the main act. It’s better than nothing. Just.</t>
  </si>
  <si>
    <t xml:space="preserve">Not a headline show, but you know what? You weren’t just a last-minute fill-in. Well, you WERE, but nobody’s gonna say that out loud now.</t>
  </si>
  <si>
    <t xml:space="preserve">You see how the audience cheered when they started taking the stage down? … yeah. They’re calling you the Rigger’s Friend now.</t>
  </si>
  <si>
    <t xml:space="preserve">Relevance</t>
  </si>
  <si>
    <t xml:space="preserve">Media</t>
  </si>
  <si>
    <t xml:space="preserve">We’re going to shoot a music video. Well, no, we’re going to shoot bits of a music video; a bunch of 15-second things and put them on the short-form sites for kids to find. If we make our money back we’ll shoot the whole thing.</t>
  </si>
  <si>
    <t xml:space="preserve">Lots and lots of views, lots of ads viewed, and… well, looks like we got a video out of it. I’ve got a headache, I barely understand it, but I understand money and attention and on that score… this was a nice little earner.</t>
  </si>
  <si>
    <t xml:space="preserve">Plop. Plop. Plop. Plop. One by one the clips go into the depths, unseen, unremarked-on, unthumbed… unpaid. We’d better try something else, eh?</t>
  </si>
  <si>
    <t xml:space="preserve">You know that genre of music you say you do? Well, turns out there’s a podcast for it now. Joey’s Fart Sandwich. I’ve never heard of it either but they’ll have to pretend to listen to you for half an hour so I said okay.</t>
  </si>
  <si>
    <t xml:space="preserve">That was the biggest load of old bollocks I’ve ever heard anyone talk in years. You made no sense, nobody followed it, but they’ll all pretend they did for fear of looking stupid. You’re a natural. Let’s do another!</t>
  </si>
  <si>
    <t xml:space="preserve">You know that bit where Joey said ‘let’s be real’ and ‘let’s talk like normal people’? He was an idiot for saying that, and you were an idiot for doing it! The whole thing fell flat within five minutes.</t>
  </si>
  <si>
    <t xml:space="preserve">What’s that video game you like to play? The one I can’t get you to shut up about? Yeah, this is a different game, but it’s an hour of publicity. If nothing else you can try to make it all about you.</t>
  </si>
  <si>
    <t xml:space="preserve">That’s the thing about video games: you don’t have to be good at them. You have to be good at doing other stuff while playing them. If you can talk bollocks while everyone else kicks your arse and entertain that way, you’ve got it made.</t>
  </si>
  <si>
    <t xml:space="preserve">Yeah, you realise they weren’t actually bringing you in to be good at video games, right? They were bringing you in to entertain. Try and manage something beyond a few adolescent grunts next time and you’ll have a better time of it.</t>
  </si>
  <si>
    <t xml:space="preserve">Recording</t>
  </si>
  <si>
    <t xml:space="preserve">Rebecca Lisk liked your voice on that thing you did whose name no-one remembers. You’ve got a guest spot on her album.</t>
  </si>
  <si>
    <t xml:space="preserve">Rebecca Lisk has no idea what she wants. That sounded awful, and not even the good kind of awful. Might be a bonus track years later, but I’m not betting on it!</t>
  </si>
  <si>
    <t xml:space="preserve">Looks like she liked that thing you did here too. On the one hand, more collabs; on the other you’re stuck with her if she does something really stupid. Feeling any regrets yet?</t>
  </si>
  <si>
    <t xml:space="preserve">I think it’s time to record a demo and see if any of the companies are interested.</t>
  </si>
  <si>
    <t xml:space="preserve">Bloody Hell. You almost sounded like you could do this for a living! Just… just don’t play it at any parties you go to, alright? What’s the kids’ word for that these days? Cringe? Yeah.</t>
  </si>
  <si>
    <t xml:space="preserve">And it turns out not even the producer or the engineer were interested. What a waste of time!</t>
  </si>
  <si>
    <t xml:space="preserve">Looks like every local act is clubbing together for a joke. Let’s get you behind the mic with them!</t>
  </si>
  <si>
    <t xml:space="preserve">It sounded awful, but it was a laugh and you were there. Your name’s on the credits and this time next year -- it’ll be an obscure question on a trivia quiz.</t>
  </si>
  <si>
    <t xml:space="preserve">You might at least have learned the words. What was it you did? “Freestyling?” That’s usually reserved for rappers.</t>
  </si>
  <si>
    <t xml:space="preserve">Publicity</t>
  </si>
  <si>
    <t xml:space="preserve">It’s Karaoke Night at the Alhambra. You decide to sing a song that’s been making the rounds on YouTube.</t>
  </si>
  <si>
    <t xml:space="preserve">Nice going. Getting everyone else to join in is a great way to cover up the fact you forgot the words.</t>
  </si>
  <si>
    <t xml:space="preserve">… Baby Shark. Really. Yeah, let’s avoid the Alhambra for a bit. Maybe until it closes down.</t>
  </si>
  <si>
    <t xml:space="preserve">Jimmy Oxter’s turning into a regular at your local club. See if you can catch him out with this whoopee cushion.</t>
  </si>
  <si>
    <t xml:space="preserve">Oh, his face! The laughter! Of course now his bodyguards say they’ll break your legs if you try it again, but they had a giggle too and we all saw them.</t>
  </si>
  <si>
    <t xml:space="preserve">… you were meant to get him to sit on it, not hit him with the bloody thing! What’s wrong with you?!</t>
  </si>
  <si>
    <t xml:space="preserve">Influencer</t>
  </si>
  <si>
    <t xml:space="preserve">Emmett Frogg, the guy who invented Fidget Flippers, is offering silly money for a couple of people to do a glorified ad. So we’re going to meet an influencer and play with some plastic frogs.</t>
  </si>
  <si>
    <t xml:space="preserve">There is something a bit compulsive about trying to make a plastic frog do a somersault, isn’t there? Nice job, he was able to empty his lockup within two days.</t>
  </si>
  <si>
    <t xml:space="preserve">Oh, bloody Hell. They’re small plastic frogs. Why did you put them in your mouth?! Now they’re being recalled as a choking hazard….</t>
  </si>
  <si>
    <t xml:space="preserve">Medium</t>
  </si>
  <si>
    <t xml:space="preserve">The house band at the Flashlight are off this week; they’re trying out something bigger. I’ve got a few people together and I want you to front it. Do something old school so the punters think they’re safe, but be wild about it and show they’re not.</t>
  </si>
  <si>
    <t xml:space="preserve">Wasn’t enough to get you the regular slot at the Flashlight, but you did pretty good. Who’d have thought a punk cover of ‘I Want It That Way’ would have worked? Me neither, but it did!</t>
  </si>
  <si>
    <t xml:space="preserve">Ah well. No great loss. It was only a pick-up band. Could have been good, but sometimes it doesn’t work out. Still, the house band are back next week so who’ll remember?</t>
  </si>
  <si>
    <t xml:space="preserve">There’s a slot at the Odeon that’s just opened up. I told the owners we’ll put on a show at no notice for half the price. Easy peasy! 90% of this job’s opportunism. See, people don’t like their venues empty, it costs money….</t>
  </si>
  <si>
    <t xml:space="preserve">You came, you saw, you sang, you slew ‘em. If you last any length of time in this business, people are gonna talk about that gig. It came out of nowhere, you had to be there, any cliché you like, so long as it’s black…</t>
  </si>
  <si>
    <t xml:space="preserve">Oh dear. No, that’s not good. Can’t see you playing at the Odeon again, not unless they’re *really* hurting for bookings. We could try changing your name and sending you along in disguise, maybe…</t>
  </si>
  <si>
    <t xml:space="preserve">The Offload Festival’s coming up again. Guess who’s managed to get you a one-hour slot on the Uneven Stage? Have fun, and don’t bring anything on stage with you unless you’re comfortable with the idea of it rolling gradually to the edge and falling off.</t>
  </si>
  <si>
    <t xml:space="preserve">Pretty good show. You did alright. The number of people singing along was greater than the number of plastic bottles of piss that were thrown, so on the whole I’d call that a win. Onto the next one!</t>
  </si>
  <si>
    <t xml:space="preserve">On the one hand, you bombed. No two ways about it; the crowd didn’t love ya. But on the other, this is where you develop a bit of rhino skin. Because there will be bad gigs. And everyone’s got a horror story about some festival or other. And at least it’s only Offload. They’ll take anyone so they kind of expect a minor disaster or two, just so long as people turn up.</t>
  </si>
  <si>
    <t xml:space="preserve">We’ve finally got the go-ahead to monetise MeTube content, so we’re going to record a half-hour show. Four new songs, four covers, a bit of banter in between. Make sure to rehearse a bit first!</t>
  </si>
  <si>
    <t xml:space="preserve">Lovely! Just look at all those thumbs! Didn’t get buried in the algorithm either. I think that’s because we linked to it from the short clips, and somehow enough of the viewers stopped doomscrolling just for long enough to click one of your links. There’s hope for humanity yet!</t>
  </si>
  <si>
    <t xml:space="preserve">God, that’s underwhelming. Last time I saw a number that low was on a cheque for my repeat fees for an old Doctor Who episode. Still, look on the bright side; at least some streamer didn’t upload themselves reacting to it, say nothing, and STILL pull bigger numbers – wait a minute. What? They did?!</t>
  </si>
  <si>
    <t xml:space="preserve">Jimmy Oxter thinks there might actually be a chance you might be funny, or at least interesting, so he’s invited you on his podcast. He might just be trying to catch you out with a prank too.</t>
  </si>
  <si>
    <t xml:space="preserve">Good enough, good enough. Jimmy Oxter caught you out with the whoopee cushion, you took it in your stride, proved you can take a joke as well as tell one. People like that; makes them think you’re human.</t>
  </si>
  <si>
    <t xml:space="preserve">What a frigging disaster! You sat on the whoopee cushion, got the fart noise, then you blew up at Jimmy Oxter? Well, I suppose we might do something with the drama later, but who’s going to ask you onto their podcast next? The problem with being a drama queen is people will think that’s all you’re good for.</t>
  </si>
  <si>
    <t xml:space="preserve">You know table-top role-playing games? Brendan Brannigan thinks you might make a good bard in his fantasy game. He’ll be filming it. Write up some silly lyrics, play it mostly for laughs, but… try and play well with the others, right? Could be a regular thing if we play our cards right.</t>
  </si>
  <si>
    <t xml:space="preserve">The dice did not like you that day, did they? Well done on having some lyrics written for when your character screwed up. That got a few laughs, and I think some of ‘em might even have been laughing with you.</t>
  </si>
  <si>
    <t xml:space="preserve">The thing about role-playing games, especially the ones they record and put on streams, is they have to involve roleplay. You have to give ‘em something to work with. You just sat there like the player’s girlfriend who didn’t want to be there in the first place, and decided to act up just so nobody would invite him back either! … and who won? Not the players, not the audience, and not you. </t>
  </si>
  <si>
    <t xml:space="preserve">Barry Prunk’s recording a single (won’t be under his own name, I mean – ‘Barry’? – I ask you…) but he wants you to sing backing. He’ll sing high, you’ll sing low, or whatever they do when they want to harmonise. Just listen to this track a few times, you’ll get the idea.</t>
  </si>
  <si>
    <t xml:space="preserve">I think this could be the start of a beautiful friendship. Maybe Barry Prunk’ll return the favour later on! In the meantime, there’s a bit more stashed away for the album fund. Kerching, as they used to say…</t>
  </si>
  <si>
    <t xml:space="preserve">Never thought I’d see Barry Prunk weep. No, seriously, I think he had his tear ducts closed up during his last plastic surgery. But god, he was not in a good way after that. You didn’t have to be great, but you could at least have tried to carry a tune!</t>
  </si>
  <si>
    <t xml:space="preserve">Back into the studio with you! We’ve got a song for you, and it should be a good one. It’s got most of the bits that people like. Something to sing along with, one of those vocal hooks that even howler monkeys will appreciate, and a beat anyone with a few pots and pans can copy. All we need is your voice on it. </t>
  </si>
  <si>
    <t xml:space="preserve">Well, it’s not top of the pops, but it charted, so somebody must have liked it. What’s ‘Top of the Pops’, you ask? Oh Christ. How old ARE you? How old am I?!</t>
  </si>
  <si>
    <t xml:space="preserve">Well, it flopped. That’s not a major disaster. Lots of singles flop. May take a while to recover, though; studio time costs money. We’ll try you on some other kinds of song, see if that helps.</t>
  </si>
  <si>
    <t xml:space="preserve">You know that stupid meme that all the kids are copying that none of the grown-ups understand? We’re going to release a song about it. And when that sells, it ought to kill the meme stone dead. Everybody do the 6-7!</t>
  </si>
  <si>
    <t xml:space="preserve">It’s stupid, it misses the point, it sounds awful, but it’s catchy and annoying but not as annoying as the meme, and now young adults are telling kids to ‘Do the Six-Seven!’ and annoying them back. This we did for the good of humanity.</t>
  </si>
  <si>
    <t xml:space="preserve">Novelty singles flop all the time. Everyone’s looking for the next three-day wonder, see. Now, the worst that can happen is, years from now, when you’re a serious person, someone’s going to pull this out and play it. Best have your excuse worked out already. And develop a sense of humour, obviously!</t>
  </si>
  <si>
    <t xml:space="preserve">What makes a thing go viral? I don’t know, but you’re pretty spontaneous and charismatic. Go down the club, do some stupid moves now and again. Maybe something will catch on.</t>
  </si>
  <si>
    <t xml:space="preserve">Okay, so now people are stopping what they’re doing and making and drinking imaginary cups of tea like they’re Marceal Marceau. But they’re doing it because you did it, and people know.</t>
  </si>
  <si>
    <t xml:space="preserve">Okay, you were caught being stupid, trying to force a meme that simply wouldn’t catch on. Blame it on the booze, blame it on the pills, blame it on the boogie if you have to. People are going to remember you’re ‘cringe’, like the youngsters say. But you know what? Here’s a secret for you: EVERYONE IS CRINGE. And sooner or later they’ll all be cringe too. And then you’ll be even.</t>
  </si>
  <si>
    <t xml:space="preserve">You know that little runt Jimmy Flaherty? Did all those ‘prank’ videos? He’s started going to Flashbangs, and I know the guy who owns that club. We’re going to get the bouncers to give him the runaround, make him look like Billy No Mates, then you’re gonna come out and spring it on him. Do you remember Jeremy Beadle? … no? Christ, how old ARE you? … how old am I?!</t>
  </si>
  <si>
    <t xml:space="preserve">Noticed that genuine adulation and cheering? That might not be for your singing, but for doing something they never got the chance to do, or never had the guts to do. And you know what? that might just be better!</t>
  </si>
  <si>
    <t xml:space="preserve">Oh, now this is just embarrassing. That backfired. That backfired and he harrassed you all night, ruining your day – probably your week too. Still, chin up! It could be a lot worse. You could have made him look like the victim. God help us if Jimmy Flaherty’s in the right, eh?</t>
  </si>
  <si>
    <t xml:space="preserve">Welcome to the world of make-up influencing. Splotti (Apparently that’s her legal name now) is trying to push her ‘Pop Star’ range, and guess whose face gets to be her canvas?</t>
  </si>
  <si>
    <t xml:space="preserve">I don’t know what I expected. But somehow you managed to make something of it. Even got her to come up with some kind of look you can try on stage. Let’s just hope she doesn’t want to go into singing. What can I do with a girl named ‘Splotti’?</t>
  </si>
  <si>
    <t xml:space="preserve">Who’d have thought make-up influencers would be such drama queens? Anyone who’s met one, that’s who! Somehow they’ve spun the whole sorry affair into you victimising them and now everyone’s saying you’re ‘cancelled.’ Nothing for it now but to make a crappy apology video, with you singing a song about drama while playing a ukulele. No, wait a minute, what am I thinking? That’s an awful idea.</t>
  </si>
  <si>
    <t xml:space="preserve">Hard</t>
  </si>
  <si>
    <t xml:space="preserve">The Flashlight is under new management, so it’s all change. They’ve got this idea of ‘residencies’ now: the house band changes every month. Four gigs, then off to something else. I’m not saying the job’s yours, but it could be, if you impress the new bigwigs. Get in there and knock ‘em dead and that’s at least twelve shows at a club that is still inexplicably pretty hot.</t>
  </si>
  <si>
    <t xml:space="preserve">Well, you tried… and you got it! Four weeks at the Flashlight, a show every Friday, Saturday, and Sunday. Plus of course rehearsals and such. You’re practically gonna be living there. Don’t let ‘em charge you rent, though. Even if you set up a campbed and a space heater.</t>
  </si>
  <si>
    <t xml:space="preserve">The audition didn’t go so well. In fact it was terrible. You’re one of dozens of also-rans. I heard a few discouraging voices, but… the hell with ‘em. There’s always gonna be people telling you you’ve lost it, or you never hard it. Just have to put up with it and carry on regardless. That’s showbiz!</t>
  </si>
  <si>
    <t xml:space="preserve">HeeBGB’s decided to take a chance on you, seeing as how you’re one of the up-and-coming acts. ‘Someone to watch’, I heard the manager say. He MIGHT have said ‘preferably through the viewfinder of a telescopic sight attached to a high-powered rifle’ but I’m pretty sure he was joking when he said that. Still, you’ve got a couple of hours to show them you’re worth a couple of hours, so get warmed up and ready to go. This could be big!</t>
  </si>
  <si>
    <t xml:space="preserve">HeeBGB used to be a great club, back in the day. And now you’re playing there. I don’t know how those two statements relate to each other yet. You work it out!</t>
  </si>
  <si>
    <t xml:space="preserve">Christ, I’ve never seen a place so empty! And off the back of that another couple of gigs have cancelled. Not saying your career’s over, but let’s not sugar-coat this; it’s a setback. Maybe we were a bit premature trying to play at HeeBGB’s; somewhere a bit lower key might work better. Earn your dues a bit.</t>
  </si>
  <si>
    <t xml:space="preserve">I don’t know if it’s mass hysteria or just an outbreak of botulism that hospitalised everyone responsible for booking the acts, but you’re on to headline on the Wobbly Stage at the Offload Festival. Headline act of the year! Or of the next couple of months. Never can tell when the next Offload’s gonna be, see. Legend has it they’re still trying to make their money back for the first one. Still, even if they added you just for a joke, turn up and prove ‘em wrong. Or right. Just don’t be boring, that’s the main thing.</t>
  </si>
  <si>
    <t xml:space="preserve">How many dozens of people headlined at the Offload Festival over the years? Loads. I couldn’t be arsed to count. But you have now. And you’re on the list. That could be on a pub quiz machine later. Fancy that! You could be going for a drink, spend a couple of quid on the quizzy, and a question could come up with you on it! Who says this industry doesn’t pay?</t>
  </si>
  <si>
    <t xml:space="preserve">What an absolute shower! Don’t think I’ve seen so many bottles of pee airborne at one time before. Let’s face it, they didn’t like you. The worst bit of it is we’re gonna have to watch the show again, and work out why. Was it the songs? Was it the way you sang? Was it the time you told them you were the Son of God and they should worship you? Who can tell?</t>
  </si>
  <si>
    <t xml:space="preserve">Remember TV? That box old people keep in their lounges, sometimes shows music? Well, The Half Show want you to appear. Chat a bit, sing a bit, pop stars used to do that all the time before everything went online. Used to have whole channels devoted to it for a while. Weird.</t>
  </si>
  <si>
    <t xml:space="preserve">Grown-up people know about you now. Just think! Kids and adults alike know about you and your music. And now that’s happened, they can all come together and-- what am I talking about? That almost never happens.</t>
  </si>
  <si>
    <t xml:space="preserve">Yes, I know the audience applauded. They were very polite, very perfunctory. But when the host smiled and praised you that smile was nowhere near her eyes. It’s one of those shows where they just describe what you did by saying your name and that you sang a song. Gotta liven that up a bit. The worst thing about it, the unforgiveable thing, was it was BORING. Boring, boring, boring…</t>
  </si>
  <si>
    <t xml:space="preserve">Seems people are still reading books, if you can believe that. Almost makes you feel hope for humanity, doesn’t it? Still, Caitlin Sandford’s got this literary podcast. Her, pal, and a couple of guests read a book and talk everyone’s ears off for an hour. The first half hour’s usually rubbish because everyone’s still sober and a bit nervous, but the last half hour’s usually a riot. So, take this book, read it, pick some bits you like, neck some prosecco and hold forth!</t>
  </si>
  <si>
    <t xml:space="preserve">It’s always nice to be able to add stuff to your CV. “I recorded a song and it charted.” “I played at the Flashlight.” And now, best of all, “I’ve read a book.” If ever you get into a pissing contest with someone, save that for last. Wins every time.</t>
  </si>
  <si>
    <t xml:space="preserve">Got stuck into the Prosecco a bit early, didn’t you? I’m afraid that was a bit of a shambles. That bit where you said you fell asleep at the contents page and didn’t read any further didn’t go down as well as you might have liked. And all the Harry Potter and Frodo Baggins jokes went over like the proverbial lead balloon.</t>
  </si>
  <si>
    <t xml:space="preserve">You know what’s really stupid? Reaction streaming. Watch some videos, react to what you see, and people watch you watching that. It’s like that Gigglebox programme, I think. Still, we’re gonna give it a try, might catch on. Just have some catchphrases, take the piss, be funny, be obnoxious, be drunk, just don’t be boring. There are only a few people who can sit, watch, and not react to something and make money from it, and as much as I love money, I’d hate for it to be you.</t>
  </si>
  <si>
    <t xml:space="preserve">Well now! Weren’t you just a little riff machine! Thirty short videos, and you had something to say about all of them that wasn’t just ‘wow…’ or ‘oh my god…’ Some of the jokes even made ME chuckle. </t>
  </si>
  <si>
    <t xml:space="preserve">The key to reaction videos, the important thing about them, the OPERATIVE WORD, you might say, is ‘reaction’. I don’t know what you were doing, but it wasn’t reacting. You got some views, and some people found out about them and got you some more views, but this little bearded bloke with tattoos and long hair went and did the most savage frigging commentary I’ve heard, with a vocabulary almost as big as mine! This obviously wasn’t the medium for you. We’ll try you on something else, I think; maybe leave the commentary to the people who’re good at commenting.</t>
  </si>
  <si>
    <t xml:space="preserve">Do you remember supergroups at all? Members of famous groups would join up with members of other famous groups to make even bigger groups. Well, you’ve got a slot in one of those. Not that you’re famous, well, not FAMOUS famous, but you’re on your way. We’re gonna call you the Select. Oh no, wait, that sounds too much like the Selecter. The Selection? Nah, that’s been done too, innit. Well, whatever we call you, we’ve got you some studio time. So get in there and make some noise!</t>
  </si>
  <si>
    <t xml:space="preserve">What a nightmare! So many egos in one room! And that’s before everyone else turned up! Still, something seemed to happen, we’ve got an hour’s worth of sound that’s actually usable, and you never know, if we get a good engineer to fiddle with it, it might even be good. Well done for keeping your marbles. Or most of ‘em.</t>
  </si>
  <si>
    <t xml:space="preserve">All egos were firmly checked at the door, as was all willingness to do anything. I’m not saying you were solely to blame, but… you weren’t much help, were you? I think we’ll be lucky to scrape together five minutes of all of that. Best let everyone get back to their own knitting, because putting you all together was a recipe for disaster. What? Mix metaphors? Me? And where was this shining wit back in the studio when we needed it, eh?</t>
  </si>
  <si>
    <t xml:space="preserve">Back in the studio. We’ve got you some time with Brian Ono. No relation. But he knows his way around a mixing desk and he reckons he could make you sound good. Try not to pay too much attention when he does stuff with his tarot cards, just smile, nod, and do whatever he says if it makes sense. All genius engineers are weirdoes. And just maybe this weirdo engineer is a genius. Stranger things have happened!</t>
  </si>
  <si>
    <t xml:space="preserve">Looks like you’ve got a bit of a hit on your hands here. If only there was some sort of program, on TV perhaps, that helped us keep track of that. They could get singers and bands on, maybe get different DJs to host it each week and engage in light-hearted banter… until the next Operation Yewtree, anyway…</t>
  </si>
  <si>
    <t xml:space="preserve">I don’t know what went wrong! We had the right voice, the right song, the right tune… well, I’m gonna give you a life lesson here, rather than my usual bollocks. Sometimes it is possible to do everything right, and get nowhere. That’s just how it is. Especially in an industry as insane as this one. Maybe the time for this single hasn’t come yet. Maybe we can release it again later.</t>
  </si>
  <si>
    <t xml:space="preserve">Fancy a bit of a laugh? ‘course you do. Some group on one of those social networks has a sort of in-joke, and they’ve made it into a song, and after a few bright sparks did some different versions of it, they decided to crowdfund a proper recording of it. Somehow, don’t ask me how, I think I’ve persuaded them to ask you to sing on it. Even if they’ve not come round yet, I reckon if you turn up anyway they’ll take it as a sign and let you on anyway. So, download these mp3s to your phone, have a listen, and we’ll get you there to record when it’s time.</t>
  </si>
  <si>
    <t xml:space="preserve">How do we measure the success of this? I’m not sure. I mean, they saved up the money to pay you, and ordered a few thousand physical copies pressed, they’ve all been distributed. But it’s not really OUT THERE in the wild, is it? We just found a group and gave ‘em what they wanted, and… you know, this’d bug me if I wasn’t feeling so bloody content with the job we did!</t>
  </si>
  <si>
    <t xml:space="preserve">I think I might have mentioned before; for every novelty single that hits, there are plenty that don’t. It’s just a matter of opportunism, and leaping onto an idea that might or might not be successful. Problem is, there’s a bit of a black art to it. And what we’ve all done this time is leapt at it in a kind of rugby tackle, only to end up in a tangle of limbs and bruised egos. Speaking of which, my back’s playing up. I think I need a lie-down. I’ll call you tomorrow.</t>
  </si>
  <si>
    <t xml:space="preserve">Okay, pay attention, ‘cause this could be big. Joey Itch, who’s been animating stuff on the internet for years and years, liked one of your songs. No, not that one. The one nobody can make out the lyrics for, that one. So he wants to do a misheard lyrics video, but he reckons he can afford you for a day; just go along, sing the song – normal version, and with his lyrics – and let him take some photos of you in stage dress. He’ll animate it up, and it’ll catch on – ‘cause it sort of has already. Ready to be in a cartoon? </t>
  </si>
  <si>
    <t xml:space="preserve">Mission accomplished! I’ve watched it ten times, I’m bloody annoyed with it now. It’s all the dance moves he got your cartoon self to do, I’m not sure they’re physically possible. Unless you can do a splits and make your knees bend backwards, then get up and do it again. Actually, is there some way you can do that on the stage?</t>
  </si>
  <si>
    <t xml:space="preserve">Huh. That one didn’t work out. Sometimes the joke doesn’t land, the tune doesn’t catch, and the animation wrings no smiles from the bovine audience. Maybe it’s a slow burner. Maybe it’s just something we can say is part of a larger body of work. But whatever it is, it’s not a hit. Onto the next stunt!</t>
  </si>
  <si>
    <t xml:space="preserve">Now you’re getting big, if you’re going to pull pranks you’ve got to think big. Nothing mean-spirited, though. What I’m thinking is we do a small show, a few hundred seats; we get in touch with the club owner in advance, and we trap all the chairs with whoopee cushions. Well, yes, I DO keep doing the whoopee cushion gag. Fart jokes are always funny. And I used to own a joke shop and I was never able to shift all the stock, so I’ve got a few thousand of these buggers to use in one stunt or another. Don’t knock it, the Lord’s provided and we’ve got the chance to do something funny on the cheap. We’ll record the show, put it on YouTube, farts and all. Maybe put one on your stool as well, just to show you’re not above it all. Make sure you’ve got a line to say when you sit on it, eh?</t>
  </si>
  <si>
    <t xml:space="preserve">Okay, playing all those sentimental songs, a few quiet numbers, was a stroke of GENIUS. The quieter the song, the louder the fart. And the poetry reading, well, I don’t think anyone knew where to look from that, and I’m sure Dylan Thomas is turning in his grave, but it doesn’t matter. Fart jokes are funny, especially when you try to make everything else extra solemn. Job well done!</t>
  </si>
  <si>
    <t xml:space="preserve">Apparently these days fart jokes aren’t funny at all. How was I to know that in the light of his death from chronic flatulence and diarrhoea, people have decided to like a certain late world leader after all? But no, he’s gone, never mind what he did, fart jokes are all in appalling taste even if they’ve got nothing to do with President Shart. Some people ain’t got no sense of humour!</t>
  </si>
  <si>
    <t xml:space="preserve">Have you heard of MrBees? Of course you have. Apparently he’s the most famous person in the world now, for doing whatever the Hell it is he does. Well, he’s in the country for the next few months, and he wants to do a local version of one of this challenges. He says there’s a 20 grand prize for who can withstand his electric fence, it all smells like a bit of a scam to me; but everyone else’ll be there so you may be as well. If it all goes pear-shaped you can at least get some camera time out of it and we can trade off the drama later. Unless there’s a non-disclosure agreement or something. We’ll look at the contract later, and if it stinks we’ll kick a stink up about that instead.</t>
  </si>
  <si>
    <t xml:space="preserve">Well, we got the money. And we had some fun. Mainly because I got everyone together in advance to work out what MrBees was up to, and get you all prepared. He didn’t see that coming, did he? Especially when you formed that human chain and zapped him! Still, he paid up, and even if twenty grand between twenty people (minus my cut, of course) isn’t much, it still means the joke’s on him.</t>
  </si>
  <si>
    <t xml:space="preserve">*Tch*. Nobody came out of that looking good, did they? The only real upside to that is Mr Bees looked like a bit of an arse as well. Which is only fair, because frankly he is. He looked like a manipulative, fame-hungry sadist, with a load of manipulative, fame-hungry little masochists prepared to perform for the crumbs that fell from his plate, and I’m sorry to say you did too. But at least everyone else did as well. That’s some consolation. Not much, but it is something.</t>
  </si>
  <si>
    <t xml:space="preserve">Primary Stat</t>
  </si>
  <si>
    <t xml:space="preserve">Key</t>
  </si>
  <si>
    <t xml:space="preserve">Base Chance</t>
  </si>
  <si>
    <t xml:space="preserve">Headline</t>
  </si>
  <si>
    <t xml:space="preserve">Gig</t>
  </si>
  <si>
    <t xml:space="preserve">Festival</t>
  </si>
  <si>
    <t xml:space="preserve">TV</t>
  </si>
  <si>
    <t xml:space="preserve">Podcast</t>
  </si>
  <si>
    <t xml:space="preserve">Failure Penalty</t>
  </si>
  <si>
    <t xml:space="preserve">Stream</t>
  </si>
  <si>
    <t xml:space="preserve">Collaboration</t>
  </si>
  <si>
    <t xml:space="preserve">Single</t>
  </si>
  <si>
    <t xml:space="preserve">Novelty</t>
  </si>
  <si>
    <t xml:space="preserve">Viral</t>
  </si>
  <si>
    <t xml:space="preserve">Prank</t>
  </si>
</sst>
</file>

<file path=xl/styles.xml><?xml version="1.0" encoding="utf-8"?>
<styleSheet xmlns="http://schemas.openxmlformats.org/spreadsheetml/2006/main">
  <numFmts count="2">
    <numFmt numFmtId="164" formatCode="General"/>
    <numFmt numFmtId="165" formatCode="0.00%"/>
  </numFmts>
  <fonts count="5">
    <font>
      <sz val="10"/>
      <name val="Arial"/>
      <family val="2"/>
    </font>
    <font>
      <sz val="10"/>
      <name val="Arial"/>
      <family val="0"/>
    </font>
    <font>
      <sz val="10"/>
      <name val="Arial"/>
      <family val="0"/>
    </font>
    <font>
      <sz val="10"/>
      <name val="Arial"/>
      <family val="0"/>
    </font>
    <font>
      <b val="true"/>
      <sz val="10"/>
      <name val="Arial"/>
      <family val="2"/>
    </font>
  </fonts>
  <fills count="5">
    <fill>
      <patternFill patternType="none"/>
    </fill>
    <fill>
      <patternFill patternType="gray125"/>
    </fill>
    <fill>
      <patternFill patternType="solid">
        <fgColor rgb="FF81D41A"/>
        <bgColor rgb="FF969696"/>
      </patternFill>
    </fill>
    <fill>
      <patternFill patternType="solid">
        <fgColor rgb="FFFFFF00"/>
        <bgColor rgb="FFFFFF00"/>
      </patternFill>
    </fill>
    <fill>
      <patternFill patternType="solid">
        <fgColor rgb="FFFF0000"/>
        <bgColor rgb="FF993300"/>
      </patternFill>
    </fill>
  </fills>
  <borders count="3">
    <border diagonalUp="false" diagonalDown="false">
      <left/>
      <right/>
      <top/>
      <bottom/>
      <diagonal/>
    </border>
    <border diagonalUp="false" diagonalDown="false">
      <left/>
      <right/>
      <top/>
      <bottom style="thin"/>
      <diagonal/>
    </border>
    <border diagonalUp="false" diagonalDown="false">
      <left/>
      <right style="thin"/>
      <top/>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false" applyBorder="false" applyAlignment="false" applyProtection="false"/>
    <xf numFmtId="164" fontId="0" fillId="3" borderId="0" applyFont="false" applyBorder="false" applyAlignment="false" applyProtection="false"/>
    <xf numFmtId="164" fontId="0" fillId="4" borderId="0" applyFont="fals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0" fillId="0" borderId="0" xfId="20" applyFont="false" applyBorder="false" applyAlignment="false" applyProtection="false">
      <alignment horizontal="general" vertical="bottom" textRotation="0" wrapText="false" indent="0" shrinkToFit="false"/>
      <protection locked="true" hidden="false"/>
    </xf>
    <xf numFmtId="164" fontId="0" fillId="0" borderId="0" xfId="20" applyFont="true" applyBorder="false" applyAlignment="false" applyProtection="false">
      <alignment horizontal="general" vertical="bottom" textRotation="0" wrapText="false" indent="0" shrinkToFit="false"/>
      <protection locked="true" hidden="false"/>
    </xf>
    <xf numFmtId="165" fontId="0" fillId="0" borderId="0" xfId="2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21" applyFont="false" applyBorder="false" applyAlignment="false" applyProtection="false">
      <alignment horizontal="general" vertical="bottom" textRotation="0" wrapText="false" indent="0" shrinkToFit="false"/>
      <protection locked="true" hidden="false"/>
    </xf>
    <xf numFmtId="164" fontId="0" fillId="0" borderId="0" xfId="21" applyFont="true" applyBorder="false" applyAlignment="false" applyProtection="false">
      <alignment horizontal="general" vertical="bottom" textRotation="0" wrapText="false" indent="0" shrinkToFit="false"/>
      <protection locked="true" hidden="false"/>
    </xf>
    <xf numFmtId="165" fontId="0" fillId="0" borderId="0" xfId="21" applyFont="false" applyBorder="false" applyAlignment="false" applyProtection="false">
      <alignment horizontal="general" vertical="bottom" textRotation="0" wrapText="false" indent="0" shrinkToFit="false"/>
      <protection locked="true" hidden="false"/>
    </xf>
    <xf numFmtId="164" fontId="0" fillId="0" borderId="0" xfId="22" applyFont="false" applyBorder="false" applyAlignment="false" applyProtection="false">
      <alignment horizontal="general" vertical="bottom" textRotation="0" wrapText="false" indent="0" shrinkToFit="false"/>
      <protection locked="true" hidden="false"/>
    </xf>
    <xf numFmtId="164" fontId="0" fillId="0" borderId="0" xfId="22" applyFont="true" applyBorder="false" applyAlignment="false" applyProtection="false">
      <alignment horizontal="general" vertical="bottom" textRotation="0" wrapText="false" indent="0" shrinkToFit="false"/>
      <protection locked="true" hidden="false"/>
    </xf>
    <xf numFmtId="165" fontId="0" fillId="0" borderId="0" xfId="22"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Green" xfId="20"/>
    <cellStyle name="Yellow" xfId="21"/>
    <cellStyle name="Red" xfId="22"/>
  </cellStyles>
  <dxfs count="4">
    <dxf>
      <fill>
        <patternFill>
          <bgColor rgb="FF81D41A"/>
        </patternFill>
      </fill>
    </dxf>
    <dxf>
      <fill>
        <patternFill>
          <bgColor rgb="FFFFFF00"/>
        </patternFill>
      </fill>
    </dxf>
    <dxf>
      <fill>
        <patternFill>
          <bgColor rgb="FFFF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
  <sheetViews>
    <sheetView showFormulas="false" showGridLines="true" showRowColHeaders="true" showZeros="true" rightToLeft="false" tabSelected="true" showOutlineSymbols="true" defaultGridColor="true" view="normal" topLeftCell="M10" colorId="64" zoomScale="120" zoomScaleNormal="120" zoomScalePageLayoutView="100" workbookViewId="0">
      <selection pane="topLeft" activeCell="M38" activeCellId="0" sqref="M38"/>
    </sheetView>
  </sheetViews>
  <sheetFormatPr defaultColWidth="11.53515625" defaultRowHeight="12.8" customHeight="false" zeroHeight="false" outlineLevelRow="0" outlineLevelCol="0"/>
  <cols>
    <col collapsed="false" customWidth="true" hidden="false" outlineLevel="0" max="2" min="1" style="0" width="12.56"/>
    <col collapsed="false" customWidth="true" hidden="false" outlineLevel="0" max="4" min="4" style="0" width="13.44"/>
    <col collapsed="false" customWidth="true" hidden="false" outlineLevel="0" max="5" min="5" style="0" width="9.27"/>
    <col collapsed="false" customWidth="true" hidden="false" outlineLevel="0" max="6" min="6" style="0" width="9.62"/>
    <col collapsed="false" customWidth="true" hidden="false" outlineLevel="0" max="7" min="7" style="0" width="10.89"/>
    <col collapsed="false" customWidth="true" hidden="false" outlineLevel="0" max="8" min="8" style="0" width="10.08"/>
    <col collapsed="false" customWidth="true" hidden="false" outlineLevel="0" max="9" min="9" style="0" width="11.82"/>
    <col collapsed="false" customWidth="true" hidden="false" outlineLevel="0" max="10" min="10" style="0" width="12.56"/>
    <col collapsed="false" customWidth="true" hidden="false" outlineLevel="0" max="13" min="11" style="0" width="296.22"/>
  </cols>
  <sheetData>
    <row r="1" customFormat="false" ht="24.8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2.8" hidden="false" customHeight="false" outlineLevel="0" collapsed="false">
      <c r="A2" s="2" t="str">
        <f aca="false">VLOOKUP(C2,'Lookup tables'!$A$2:$B$5,2,0)</f>
        <v>Relevance</v>
      </c>
      <c r="B2" s="2" t="s">
        <v>13</v>
      </c>
      <c r="C2" s="2" t="s">
        <v>14</v>
      </c>
      <c r="D2" s="2" t="s">
        <v>15</v>
      </c>
      <c r="E2" s="3" t="s">
        <v>16</v>
      </c>
      <c r="F2" s="4" t="n">
        <f aca="false">VLOOKUP(E2,'Lookup tables'!$O$2:$P$4,2,0)</f>
        <v>0.75</v>
      </c>
      <c r="G2" s="2" t="str">
        <f aca="false">_xlfn.CONCAT(VLOOKUP(E2,'Lookup tables'!$O$2:$Q$4,3,0)*VLOOKUP($G$1,'Lookup tables'!$K$1:$L$2,2,0)," ",A2)</f>
        <v>2 Relevance</v>
      </c>
      <c r="H2" s="2" t="str">
        <f aca="false">_xlfn.CONCAT(VLOOKUP(E2,'Lookup tables'!$O$2:$Q$4,3,0)*VLOOKUP($H$1,'Lookup tables'!$K$1:$L$2,2,0)," ",B2)</f>
        <v>1 Fame</v>
      </c>
      <c r="I2" s="2" t="str">
        <f aca="false">_xlfn.CONCAT('Lookup tables'!$L$6*VLOOKUP(E2,'Lookup tables'!$O$2:$Q$4,3,0)," ",A2)</f>
        <v>-1 Relevance</v>
      </c>
      <c r="J2" s="2" t="str">
        <f aca="false">_xlfn.CONCAT(VLOOKUP(E2,'Lookup tables'!$O$2:$R$4,4,0)," ",A2)</f>
        <v>10 Relevance</v>
      </c>
      <c r="K2" s="2" t="s">
        <v>17</v>
      </c>
      <c r="L2" s="2" t="s">
        <v>18</v>
      </c>
      <c r="M2" s="2" t="s">
        <v>19</v>
      </c>
    </row>
    <row r="3" customFormat="false" ht="12.8" hidden="false" customHeight="false" outlineLevel="0" collapsed="false">
      <c r="A3" s="5" t="str">
        <f aca="false">VLOOKUP(C3,'Lookup tables'!$A$2:$B$5,2,0)</f>
        <v>Relevance</v>
      </c>
      <c r="B3" s="5" t="s">
        <v>20</v>
      </c>
      <c r="C3" s="5" t="s">
        <v>14</v>
      </c>
      <c r="D3" s="5" t="str">
        <f aca="false">VLOOKUP(_xlfn.CONCAT(A3,B3),'Lookup tables'!$G$2:$H$13,2,0)</f>
        <v>Gig</v>
      </c>
      <c r="E3" s="6" t="s">
        <v>16</v>
      </c>
      <c r="F3" s="7" t="n">
        <f aca="false">VLOOKUP(E3,'Lookup tables'!$O$2:$P$4,2,0)</f>
        <v>0.75</v>
      </c>
      <c r="G3" s="5" t="str">
        <f aca="false">_xlfn.CONCAT(VLOOKUP(E3,'Lookup tables'!$O$2:$Q$4,3,0)*VLOOKUP($G$1,'Lookup tables'!$K$1:$L$2,2,0)," ",A3)</f>
        <v>2 Relevance</v>
      </c>
      <c r="H3" s="5" t="str">
        <f aca="false">_xlfn.CONCAT(VLOOKUP(E3,'Lookup tables'!$O$2:$Q$4,3,0)*VLOOKUP($H$1,'Lookup tables'!$K$1:$L$2,2,0)," ",B3)</f>
        <v>1 Money</v>
      </c>
      <c r="I3" s="5" t="str">
        <f aca="false">_xlfn.CONCAT('Lookup tables'!$L$6*VLOOKUP(E3,'Lookup tables'!$O$2:$Q$4,3,0)," ",A3)</f>
        <v>-1 Relevance</v>
      </c>
      <c r="J3" s="5" t="str">
        <f aca="false">_xlfn.CONCAT(VLOOKUP(E3,'Lookup tables'!$O$2:$R$4,4,0)," ",A3)</f>
        <v>10 Relevance</v>
      </c>
      <c r="K3" s="5" t="s">
        <v>21</v>
      </c>
      <c r="L3" s="5" t="s">
        <v>22</v>
      </c>
      <c r="M3" s="5" t="s">
        <v>23</v>
      </c>
    </row>
    <row r="4" customFormat="false" ht="12.8" hidden="false" customHeight="false" outlineLevel="0" collapsed="false">
      <c r="A4" s="5" t="str">
        <f aca="false">VLOOKUP(C4,'Lookup tables'!$A$2:$B$5,2,0)</f>
        <v>Relevance</v>
      </c>
      <c r="B4" s="5" t="s">
        <v>24</v>
      </c>
      <c r="C4" s="5" t="s">
        <v>14</v>
      </c>
      <c r="D4" s="5" t="str">
        <f aca="false">VLOOKUP(_xlfn.CONCAT(A4,B4),'Lookup tables'!$G$2:$H$13,2,0)</f>
        <v>Festival</v>
      </c>
      <c r="E4" s="6" t="s">
        <v>16</v>
      </c>
      <c r="F4" s="7" t="n">
        <f aca="false">VLOOKUP(E4,'Lookup tables'!$O$2:$P$4,2,0)</f>
        <v>0.75</v>
      </c>
      <c r="G4" s="5" t="str">
        <f aca="false">_xlfn.CONCAT(VLOOKUP(E4,'Lookup tables'!$O$2:$Q$4,3,0)*VLOOKUP($G$1,'Lookup tables'!$K$1:$L$2,2,0)," ",A4)</f>
        <v>2 Relevance</v>
      </c>
      <c r="H4" s="5" t="str">
        <f aca="false">_xlfn.CONCAT(VLOOKUP(E4,'Lookup tables'!$O$2:$Q$4,3,0)*VLOOKUP($H$1,'Lookup tables'!$K$1:$L$2,2,0)," ",B4)</f>
        <v>1 Fun</v>
      </c>
      <c r="I4" s="5" t="str">
        <f aca="false">_xlfn.CONCAT('Lookup tables'!$L$6*VLOOKUP(E4,'Lookup tables'!$O$2:$Q$4,3,0)," ",A4)</f>
        <v>-1 Relevance</v>
      </c>
      <c r="J4" s="5" t="str">
        <f aca="false">_xlfn.CONCAT(VLOOKUP(E4,'Lookup tables'!$O$2:$R$4,4,0)," ",A4)</f>
        <v>10 Relevance</v>
      </c>
      <c r="K4" s="5" t="s">
        <v>25</v>
      </c>
      <c r="L4" s="5" t="s">
        <v>26</v>
      </c>
      <c r="M4" s="5" t="s">
        <v>27</v>
      </c>
    </row>
    <row r="5" customFormat="false" ht="12.8" hidden="false" customHeight="false" outlineLevel="0" collapsed="false">
      <c r="A5" s="5" t="str">
        <f aca="false">VLOOKUP(C5,'Lookup tables'!$A$2:$B$5,2,0)</f>
        <v>Fame</v>
      </c>
      <c r="B5" s="5" t="s">
        <v>28</v>
      </c>
      <c r="C5" s="5" t="s">
        <v>29</v>
      </c>
      <c r="D5" s="5" t="str">
        <f aca="false">VLOOKUP(_xlfn.CONCAT(A5,B5),'Lookup tables'!$G$2:$H$13,2,0)</f>
        <v>TV</v>
      </c>
      <c r="E5" s="6" t="s">
        <v>16</v>
      </c>
      <c r="F5" s="7" t="n">
        <f aca="false">VLOOKUP(E5,'Lookup tables'!$O$2:$P$4,2,0)</f>
        <v>0.75</v>
      </c>
      <c r="G5" s="5" t="str">
        <f aca="false">_xlfn.CONCAT(VLOOKUP(E5,'Lookup tables'!$O$2:$Q$4,3,0)*VLOOKUP($G$1,'Lookup tables'!$K$1:$L$2,2,0)," ",A5)</f>
        <v>2 Fame</v>
      </c>
      <c r="H5" s="5" t="str">
        <f aca="false">_xlfn.CONCAT(VLOOKUP(E5,'Lookup tables'!$O$2:$Q$4,3,0)*VLOOKUP($H$1,'Lookup tables'!$K$1:$L$2,2,0)," ",B5)</f>
        <v>1 Relevance</v>
      </c>
      <c r="I5" s="5" t="str">
        <f aca="false">_xlfn.CONCAT('Lookup tables'!$L$6*VLOOKUP(E5,'Lookup tables'!$O$2:$Q$4,3,0)," ",A5)</f>
        <v>-1 Fame</v>
      </c>
      <c r="J5" s="5" t="str">
        <f aca="false">_xlfn.CONCAT(VLOOKUP(E5,'Lookup tables'!$O$2:$R$4,4,0)," ",A5)</f>
        <v>10 Fame</v>
      </c>
      <c r="K5" s="5" t="s">
        <v>30</v>
      </c>
      <c r="L5" s="5" t="s">
        <v>31</v>
      </c>
      <c r="M5" s="5" t="s">
        <v>32</v>
      </c>
    </row>
    <row r="6" customFormat="false" ht="12.8" hidden="false" customHeight="false" outlineLevel="0" collapsed="false">
      <c r="A6" s="5" t="str">
        <f aca="false">VLOOKUP(C6,'Lookup tables'!$A$2:$B$5,2,0)</f>
        <v>Fame</v>
      </c>
      <c r="B6" s="5" t="s">
        <v>20</v>
      </c>
      <c r="C6" s="5" t="s">
        <v>29</v>
      </c>
      <c r="D6" s="5" t="str">
        <f aca="false">VLOOKUP(_xlfn.CONCAT(A6,B6),'Lookup tables'!$G$2:$H$13,2,0)</f>
        <v>Podcast</v>
      </c>
      <c r="E6" s="6" t="s">
        <v>16</v>
      </c>
      <c r="F6" s="7" t="n">
        <f aca="false">VLOOKUP(E6,'Lookup tables'!$O$2:$P$4,2,0)</f>
        <v>0.75</v>
      </c>
      <c r="G6" s="5" t="str">
        <f aca="false">_xlfn.CONCAT(VLOOKUP(E6,'Lookup tables'!$O$2:$Q$4,3,0)*VLOOKUP($G$1,'Lookup tables'!$K$1:$L$2,2,0)," ",A6)</f>
        <v>2 Fame</v>
      </c>
      <c r="H6" s="5" t="str">
        <f aca="false">_xlfn.CONCAT(VLOOKUP(E6,'Lookup tables'!$O$2:$Q$4,3,0)*VLOOKUP($H$1,'Lookup tables'!$K$1:$L$2,2,0)," ",B6)</f>
        <v>1 Money</v>
      </c>
      <c r="I6" s="5" t="str">
        <f aca="false">_xlfn.CONCAT('Lookup tables'!$L$6*VLOOKUP(E6,'Lookup tables'!$O$2:$Q$4,3,0)," ",A6)</f>
        <v>-1 Fame</v>
      </c>
      <c r="J6" s="5" t="str">
        <f aca="false">_xlfn.CONCAT(VLOOKUP(E6,'Lookup tables'!$O$2:$R$4,4,0)," ",A6)</f>
        <v>10 Fame</v>
      </c>
      <c r="K6" s="5" t="s">
        <v>33</v>
      </c>
      <c r="L6" s="5" t="s">
        <v>34</v>
      </c>
      <c r="M6" s="5" t="s">
        <v>35</v>
      </c>
    </row>
    <row r="7" customFormat="false" ht="12.8" hidden="false" customHeight="false" outlineLevel="0" collapsed="false">
      <c r="A7" s="5" t="str">
        <f aca="false">VLOOKUP(C7,'Lookup tables'!$A$2:$B$5,2,0)</f>
        <v>Fame</v>
      </c>
      <c r="B7" s="5" t="s">
        <v>24</v>
      </c>
      <c r="C7" s="5" t="s">
        <v>29</v>
      </c>
      <c r="D7" s="5" t="str">
        <f aca="false">VLOOKUP(_xlfn.CONCAT(A7,B7),'Lookup tables'!$G$2:$H$13,2,0)</f>
        <v>Stream</v>
      </c>
      <c r="E7" s="6" t="s">
        <v>16</v>
      </c>
      <c r="F7" s="7" t="n">
        <f aca="false">VLOOKUP(E7,'Lookup tables'!$O$2:$P$4,2,0)</f>
        <v>0.75</v>
      </c>
      <c r="G7" s="5" t="str">
        <f aca="false">_xlfn.CONCAT(VLOOKUP(E7,'Lookup tables'!$O$2:$Q$4,3,0)*VLOOKUP($G$1,'Lookup tables'!$K$1:$L$2,2,0)," ",A7)</f>
        <v>2 Fame</v>
      </c>
      <c r="H7" s="5" t="str">
        <f aca="false">_xlfn.CONCAT(VLOOKUP(E7,'Lookup tables'!$O$2:$Q$4,3,0)*VLOOKUP($H$1,'Lookup tables'!$K$1:$L$2,2,0)," ",B7)</f>
        <v>1 Fun</v>
      </c>
      <c r="I7" s="5" t="str">
        <f aca="false">_xlfn.CONCAT('Lookup tables'!$L$6*VLOOKUP(E7,'Lookup tables'!$O$2:$Q$4,3,0)," ",A7)</f>
        <v>-1 Fame</v>
      </c>
      <c r="J7" s="5" t="str">
        <f aca="false">_xlfn.CONCAT(VLOOKUP(E7,'Lookup tables'!$O$2:$R$4,4,0)," ",A7)</f>
        <v>10 Fame</v>
      </c>
      <c r="K7" s="5" t="s">
        <v>36</v>
      </c>
      <c r="L7" s="5" t="s">
        <v>37</v>
      </c>
      <c r="M7" s="5" t="s">
        <v>38</v>
      </c>
    </row>
    <row r="8" customFormat="false" ht="12.8" hidden="false" customHeight="false" outlineLevel="0" collapsed="false">
      <c r="A8" s="5" t="str">
        <f aca="false">VLOOKUP(C8,'Lookup tables'!$A$2:$B$5,2,0)</f>
        <v>Money</v>
      </c>
      <c r="B8" s="5" t="s">
        <v>28</v>
      </c>
      <c r="C8" s="5" t="s">
        <v>39</v>
      </c>
      <c r="D8" s="5" t="str">
        <f aca="false">VLOOKUP(_xlfn.CONCAT(A8,B8),'Lookup tables'!$G$2:$H$13,2,0)</f>
        <v>Collaboration</v>
      </c>
      <c r="E8" s="6" t="s">
        <v>16</v>
      </c>
      <c r="F8" s="7" t="n">
        <f aca="false">VLOOKUP(E8,'Lookup tables'!$O$2:$P$4,2,0)</f>
        <v>0.75</v>
      </c>
      <c r="G8" s="5" t="str">
        <f aca="false">_xlfn.CONCAT(VLOOKUP(E8,'Lookup tables'!$O$2:$Q$4,3,0)*VLOOKUP($G$1,'Lookup tables'!$K$1:$L$2,2,0)," ",A8)</f>
        <v>2 Money</v>
      </c>
      <c r="H8" s="5" t="str">
        <f aca="false">_xlfn.CONCAT(VLOOKUP(E8,'Lookup tables'!$O$2:$Q$4,3,0)*VLOOKUP($H$1,'Lookup tables'!$K$1:$L$2,2,0)," ",B8)</f>
        <v>1 Relevance</v>
      </c>
      <c r="I8" s="5" t="str">
        <f aca="false">_xlfn.CONCAT('Lookup tables'!$L$6*VLOOKUP(E8,'Lookup tables'!$O$2:$Q$4,3,0)," ",A8)</f>
        <v>-1 Money</v>
      </c>
      <c r="J8" s="5" t="str">
        <f aca="false">_xlfn.CONCAT(VLOOKUP(E8,'Lookup tables'!$O$2:$R$4,4,0)," ",A8)</f>
        <v>10 Money</v>
      </c>
      <c r="K8" s="5" t="s">
        <v>40</v>
      </c>
      <c r="L8" s="5" t="s">
        <v>41</v>
      </c>
      <c r="M8" s="5" t="s">
        <v>42</v>
      </c>
    </row>
    <row r="9" customFormat="false" ht="12.8" hidden="false" customHeight="false" outlineLevel="0" collapsed="false">
      <c r="A9" s="5" t="str">
        <f aca="false">VLOOKUP(C9,'Lookup tables'!$A$2:$B$5,2,0)</f>
        <v>Money</v>
      </c>
      <c r="B9" s="5" t="s">
        <v>13</v>
      </c>
      <c r="C9" s="5" t="s">
        <v>39</v>
      </c>
      <c r="D9" s="5" t="str">
        <f aca="false">VLOOKUP(_xlfn.CONCAT(A9,B9),'Lookup tables'!$G$2:$H$13,2,0)</f>
        <v>Single</v>
      </c>
      <c r="E9" s="6" t="s">
        <v>16</v>
      </c>
      <c r="F9" s="7" t="n">
        <f aca="false">VLOOKUP(E9,'Lookup tables'!$O$2:$P$4,2,0)</f>
        <v>0.75</v>
      </c>
      <c r="G9" s="5" t="str">
        <f aca="false">_xlfn.CONCAT(VLOOKUP(E9,'Lookup tables'!$O$2:$Q$4,3,0)*VLOOKUP($G$1,'Lookup tables'!$K$1:$L$2,2,0)," ",A9)</f>
        <v>2 Money</v>
      </c>
      <c r="H9" s="5" t="str">
        <f aca="false">_xlfn.CONCAT(VLOOKUP(E9,'Lookup tables'!$O$2:$Q$4,3,0)*VLOOKUP($H$1,'Lookup tables'!$K$1:$L$2,2,0)," ",B9)</f>
        <v>1 Fame</v>
      </c>
      <c r="I9" s="5" t="str">
        <f aca="false">_xlfn.CONCAT('Lookup tables'!$L$6*VLOOKUP(E9,'Lookup tables'!$O$2:$Q$4,3,0)," ",A9)</f>
        <v>-1 Money</v>
      </c>
      <c r="J9" s="5" t="str">
        <f aca="false">_xlfn.CONCAT(VLOOKUP(E9,'Lookup tables'!$O$2:$R$4,4,0)," ",A9)</f>
        <v>10 Money</v>
      </c>
      <c r="K9" s="5" t="s">
        <v>43</v>
      </c>
      <c r="L9" s="5" t="s">
        <v>44</v>
      </c>
      <c r="M9" s="5" t="s">
        <v>45</v>
      </c>
    </row>
    <row r="10" customFormat="false" ht="12.8" hidden="false" customHeight="false" outlineLevel="0" collapsed="false">
      <c r="A10" s="5" t="str">
        <f aca="false">VLOOKUP(C10,'Lookup tables'!$A$2:$B$5,2,0)</f>
        <v>Money</v>
      </c>
      <c r="B10" s="5" t="s">
        <v>24</v>
      </c>
      <c r="C10" s="5" t="s">
        <v>39</v>
      </c>
      <c r="D10" s="5" t="str">
        <f aca="false">VLOOKUP(_xlfn.CONCAT(A10,B10),'Lookup tables'!$G$2:$H$13,2,0)</f>
        <v>Novelty</v>
      </c>
      <c r="E10" s="6" t="s">
        <v>16</v>
      </c>
      <c r="F10" s="7" t="n">
        <f aca="false">VLOOKUP(E10,'Lookup tables'!$O$2:$P$4,2,0)</f>
        <v>0.75</v>
      </c>
      <c r="G10" s="5" t="str">
        <f aca="false">_xlfn.CONCAT(VLOOKUP(E10,'Lookup tables'!$O$2:$Q$4,3,0)*VLOOKUP($G$1,'Lookup tables'!$K$1:$L$2,2,0)," ",A10)</f>
        <v>2 Money</v>
      </c>
      <c r="H10" s="5" t="str">
        <f aca="false">_xlfn.CONCAT(VLOOKUP(E10,'Lookup tables'!$O$2:$Q$4,3,0)*VLOOKUP($H$1,'Lookup tables'!$K$1:$L$2,2,0)," ",B10)</f>
        <v>1 Fun</v>
      </c>
      <c r="I10" s="5" t="str">
        <f aca="false">_xlfn.CONCAT('Lookup tables'!$L$6*VLOOKUP(E10,'Lookup tables'!$O$2:$Q$4,3,0)," ",A10)</f>
        <v>-1 Money</v>
      </c>
      <c r="J10" s="5" t="str">
        <f aca="false">_xlfn.CONCAT(VLOOKUP(E10,'Lookup tables'!$O$2:$R$4,4,0)," ",A10)</f>
        <v>10 Money</v>
      </c>
      <c r="K10" s="5" t="s">
        <v>46</v>
      </c>
      <c r="L10" s="5" t="s">
        <v>47</v>
      </c>
      <c r="M10" s="5" t="s">
        <v>48</v>
      </c>
    </row>
    <row r="11" customFormat="false" ht="12.8" hidden="false" customHeight="false" outlineLevel="0" collapsed="false">
      <c r="A11" s="5" t="str">
        <f aca="false">VLOOKUP(C11,'Lookup tables'!$A$2:$B$5,2,0)</f>
        <v>Fun</v>
      </c>
      <c r="B11" s="5" t="s">
        <v>28</v>
      </c>
      <c r="C11" s="5" t="s">
        <v>49</v>
      </c>
      <c r="D11" s="5" t="str">
        <f aca="false">VLOOKUP(_xlfn.CONCAT(A11,B11),'Lookup tables'!$G$2:$H$13,2,0)</f>
        <v>Viral</v>
      </c>
      <c r="E11" s="6" t="s">
        <v>16</v>
      </c>
      <c r="F11" s="7" t="n">
        <f aca="false">VLOOKUP(E11,'Lookup tables'!$O$2:$P$4,2,0)</f>
        <v>0.75</v>
      </c>
      <c r="G11" s="5" t="str">
        <f aca="false">_xlfn.CONCAT(VLOOKUP(E11,'Lookup tables'!$O$2:$Q$4,3,0)*VLOOKUP($G$1,'Lookup tables'!$K$1:$L$2,2,0)," ",A11)</f>
        <v>2 Fun</v>
      </c>
      <c r="H11" s="5" t="str">
        <f aca="false">_xlfn.CONCAT(VLOOKUP(E11,'Lookup tables'!$O$2:$Q$4,3,0)*VLOOKUP($H$1,'Lookup tables'!$K$1:$L$2,2,0)," ",B11)</f>
        <v>1 Relevance</v>
      </c>
      <c r="I11" s="5" t="str">
        <f aca="false">_xlfn.CONCAT('Lookup tables'!$L$6*VLOOKUP(E11,'Lookup tables'!$O$2:$Q$4,3,0)," ",A11)</f>
        <v>-1 Fun</v>
      </c>
      <c r="J11" s="5" t="str">
        <f aca="false">_xlfn.CONCAT(VLOOKUP(E11,'Lookup tables'!$O$2:$R$4,4,0)," ",A11)</f>
        <v>10 Fun</v>
      </c>
      <c r="K11" s="5" t="s">
        <v>50</v>
      </c>
      <c r="L11" s="5" t="s">
        <v>51</v>
      </c>
      <c r="M11" s="5" t="s">
        <v>52</v>
      </c>
    </row>
    <row r="12" customFormat="false" ht="12.8" hidden="false" customHeight="false" outlineLevel="0" collapsed="false">
      <c r="A12" s="5" t="str">
        <f aca="false">VLOOKUP(C12,'Lookup tables'!$A$2:$B$5,2,0)</f>
        <v>Fun</v>
      </c>
      <c r="B12" s="5" t="s">
        <v>13</v>
      </c>
      <c r="C12" s="5" t="s">
        <v>49</v>
      </c>
      <c r="D12" s="5" t="str">
        <f aca="false">VLOOKUP(_xlfn.CONCAT(A12,B12),'Lookup tables'!$G$2:$H$13,2,0)</f>
        <v>Prank</v>
      </c>
      <c r="E12" s="6" t="s">
        <v>16</v>
      </c>
      <c r="F12" s="7" t="n">
        <f aca="false">VLOOKUP(E12,'Lookup tables'!$O$2:$P$4,2,0)</f>
        <v>0.75</v>
      </c>
      <c r="G12" s="5" t="str">
        <f aca="false">_xlfn.CONCAT(VLOOKUP(E12,'Lookup tables'!$O$2:$Q$4,3,0)*VLOOKUP($G$1,'Lookup tables'!$K$1:$L$2,2,0)," ",A12)</f>
        <v>2 Fun</v>
      </c>
      <c r="H12" s="5" t="str">
        <f aca="false">_xlfn.CONCAT(VLOOKUP(E12,'Lookup tables'!$O$2:$Q$4,3,0)*VLOOKUP($H$1,'Lookup tables'!$K$1:$L$2,2,0)," ",B12)</f>
        <v>1 Fame</v>
      </c>
      <c r="I12" s="5" t="str">
        <f aca="false">_xlfn.CONCAT('Lookup tables'!$L$6*VLOOKUP(E12,'Lookup tables'!$O$2:$Q$4,3,0)," ",A12)</f>
        <v>-1 Fun</v>
      </c>
      <c r="J12" s="5" t="str">
        <f aca="false">_xlfn.CONCAT(VLOOKUP(E12,'Lookup tables'!$O$2:$R$4,4,0)," ",A12)</f>
        <v>10 Fun</v>
      </c>
      <c r="K12" s="5" t="s">
        <v>53</v>
      </c>
      <c r="L12" s="5" t="s">
        <v>54</v>
      </c>
      <c r="M12" s="5" t="s">
        <v>55</v>
      </c>
    </row>
    <row r="13" customFormat="false" ht="12.8" hidden="false" customHeight="false" outlineLevel="0" collapsed="false">
      <c r="A13" s="5" t="str">
        <f aca="false">VLOOKUP(C13,'Lookup tables'!$A$2:$B$5,2,0)</f>
        <v>Fun</v>
      </c>
      <c r="B13" s="5" t="s">
        <v>20</v>
      </c>
      <c r="C13" s="5" t="s">
        <v>49</v>
      </c>
      <c r="D13" s="5" t="s">
        <v>56</v>
      </c>
      <c r="E13" s="6" t="s">
        <v>16</v>
      </c>
      <c r="F13" s="7" t="n">
        <f aca="false">VLOOKUP(E13,'Lookup tables'!$O$2:$P$4,2,0)</f>
        <v>0.75</v>
      </c>
      <c r="G13" s="5" t="str">
        <f aca="false">_xlfn.CONCAT(VLOOKUP(E13,'Lookup tables'!$O$2:$Q$4,3,0)*VLOOKUP($G$1,'Lookup tables'!$K$1:$L$2,2,0)," ",A13)</f>
        <v>2 Fun</v>
      </c>
      <c r="H13" s="5" t="str">
        <f aca="false">_xlfn.CONCAT(VLOOKUP(E13,'Lookup tables'!$O$2:$Q$4,3,0)*VLOOKUP($H$1,'Lookup tables'!$K$1:$L$2,2,0)," ",B13)</f>
        <v>1 Money</v>
      </c>
      <c r="I13" s="5" t="str">
        <f aca="false">_xlfn.CONCAT('Lookup tables'!$L$6*VLOOKUP(E13,'Lookup tables'!$O$2:$Q$4,3,0)," ",A13)</f>
        <v>-1 Fun</v>
      </c>
      <c r="J13" s="5" t="str">
        <f aca="false">_xlfn.CONCAT(VLOOKUP(E13,'Lookup tables'!$O$2:$R$4,4,0)," ",A13)</f>
        <v>10 Fun</v>
      </c>
      <c r="K13" s="5" t="s">
        <v>57</v>
      </c>
      <c r="L13" s="5" t="s">
        <v>58</v>
      </c>
      <c r="M13" s="5" t="s">
        <v>59</v>
      </c>
    </row>
    <row r="14" customFormat="false" ht="12.8" hidden="false" customHeight="false" outlineLevel="0" collapsed="false">
      <c r="A14" s="8" t="str">
        <f aca="false">VLOOKUP(C14,'Lookup tables'!$A$2:$B$5,2,0)</f>
        <v>Relevance</v>
      </c>
      <c r="B14" s="8" t="s">
        <v>13</v>
      </c>
      <c r="C14" s="8" t="s">
        <v>14</v>
      </c>
      <c r="D14" s="8" t="s">
        <v>15</v>
      </c>
      <c r="E14" s="9" t="s">
        <v>60</v>
      </c>
      <c r="F14" s="10" t="n">
        <f aca="false">VLOOKUP(E14,'Lookup tables'!$O$2:$P$4,2,0)</f>
        <v>0.6</v>
      </c>
      <c r="G14" s="8" t="str">
        <f aca="false">_xlfn.CONCAT(VLOOKUP(E14,'Lookup tables'!$O$2:$Q$4,3,0)*VLOOKUP($G$1,'Lookup tables'!$K$1:$L$2,2,0)," ",A14)</f>
        <v>4 Relevance</v>
      </c>
      <c r="H14" s="8" t="str">
        <f aca="false">_xlfn.CONCAT(VLOOKUP(E14,'Lookup tables'!$O$2:$Q$4,3,0)*VLOOKUP($H$1,'Lookup tables'!$K$1:$L$2,2,0)," ",B14)</f>
        <v>2 Fame</v>
      </c>
      <c r="I14" s="8" t="str">
        <f aca="false">_xlfn.CONCAT('Lookup tables'!$L$6*VLOOKUP(E14,'Lookup tables'!$O$2:$Q$4,3,0)," ",A14)</f>
        <v>-2 Relevance</v>
      </c>
      <c r="J14" s="8" t="str">
        <f aca="false">_xlfn.CONCAT(VLOOKUP(E14,'Lookup tables'!$O$2:$R$4,4,0)," ",A14)</f>
        <v>25 Relevance</v>
      </c>
      <c r="K14" s="8" t="s">
        <v>61</v>
      </c>
      <c r="L14" s="8" t="s">
        <v>62</v>
      </c>
      <c r="M14" s="8" t="s">
        <v>63</v>
      </c>
    </row>
    <row r="15" customFormat="false" ht="12.8" hidden="false" customHeight="false" outlineLevel="0" collapsed="false">
      <c r="A15" s="5" t="str">
        <f aca="false">VLOOKUP(C15,'Lookup tables'!$A$2:$B$5,2,0)</f>
        <v>Relevance</v>
      </c>
      <c r="B15" s="5" t="s">
        <v>20</v>
      </c>
      <c r="C15" s="5" t="s">
        <v>14</v>
      </c>
      <c r="D15" s="5" t="str">
        <f aca="false">VLOOKUP(_xlfn.CONCAT(A15,B15),'Lookup tables'!$G$2:$H$13,2,0)</f>
        <v>Gig</v>
      </c>
      <c r="E15" s="6" t="s">
        <v>60</v>
      </c>
      <c r="F15" s="7" t="n">
        <f aca="false">VLOOKUP(E15,'Lookup tables'!$O$2:$P$4,2,0)</f>
        <v>0.6</v>
      </c>
      <c r="G15" s="5" t="str">
        <f aca="false">_xlfn.CONCAT(VLOOKUP(E15,'Lookup tables'!$O$2:$Q$4,3,0)*VLOOKUP($G$1,'Lookup tables'!$K$1:$L$2,2,0)," ",A15)</f>
        <v>4 Relevance</v>
      </c>
      <c r="H15" s="5" t="str">
        <f aca="false">_xlfn.CONCAT(VLOOKUP(E15,'Lookup tables'!$O$2:$Q$4,3,0)*VLOOKUP($H$1,'Lookup tables'!$K$1:$L$2,2,0)," ",B15)</f>
        <v>2 Money</v>
      </c>
      <c r="I15" s="5" t="str">
        <f aca="false">_xlfn.CONCAT('Lookup tables'!$L$6*VLOOKUP(E15,'Lookup tables'!$O$2:$Q$4,3,0)," ",A15)</f>
        <v>-2 Relevance</v>
      </c>
      <c r="J15" s="5" t="str">
        <f aca="false">_xlfn.CONCAT(VLOOKUP(E15,'Lookup tables'!$O$2:$R$4,4,0)," ",A15)</f>
        <v>25 Relevance</v>
      </c>
      <c r="K15" s="5" t="s">
        <v>64</v>
      </c>
      <c r="L15" s="5" t="s">
        <v>65</v>
      </c>
      <c r="M15" s="5" t="s">
        <v>66</v>
      </c>
    </row>
    <row r="16" customFormat="false" ht="12.8" hidden="false" customHeight="false" outlineLevel="0" collapsed="false">
      <c r="A16" s="5" t="str">
        <f aca="false">VLOOKUP(C16,'Lookup tables'!$A$2:$B$5,2,0)</f>
        <v>Relevance</v>
      </c>
      <c r="B16" s="5" t="s">
        <v>24</v>
      </c>
      <c r="C16" s="5" t="s">
        <v>14</v>
      </c>
      <c r="D16" s="5" t="str">
        <f aca="false">VLOOKUP(_xlfn.CONCAT(A16,B16),'Lookup tables'!$G$2:$H$13,2,0)</f>
        <v>Festival</v>
      </c>
      <c r="E16" s="6" t="s">
        <v>60</v>
      </c>
      <c r="F16" s="7" t="n">
        <f aca="false">VLOOKUP(E16,'Lookup tables'!$O$2:$P$4,2,0)</f>
        <v>0.6</v>
      </c>
      <c r="G16" s="5" t="str">
        <f aca="false">_xlfn.CONCAT(VLOOKUP(E16,'Lookup tables'!$O$2:$Q$4,3,0)*VLOOKUP($G$1,'Lookup tables'!$K$1:$L$2,2,0)," ",A16)</f>
        <v>4 Relevance</v>
      </c>
      <c r="H16" s="5" t="str">
        <f aca="false">_xlfn.CONCAT(VLOOKUP(E16,'Lookup tables'!$O$2:$Q$4,3,0)*VLOOKUP($H$1,'Lookup tables'!$K$1:$L$2,2,0)," ",B16)</f>
        <v>2 Fun</v>
      </c>
      <c r="I16" s="5" t="str">
        <f aca="false">_xlfn.CONCAT('Lookup tables'!$L$6*VLOOKUP(E16,'Lookup tables'!$O$2:$Q$4,3,0)," ",A16)</f>
        <v>-2 Relevance</v>
      </c>
      <c r="J16" s="5" t="str">
        <f aca="false">_xlfn.CONCAT(VLOOKUP(E16,'Lookup tables'!$O$2:$R$4,4,0)," ",A16)</f>
        <v>25 Relevance</v>
      </c>
      <c r="K16" s="5" t="s">
        <v>67</v>
      </c>
      <c r="L16" s="5" t="s">
        <v>68</v>
      </c>
      <c r="M16" s="5" t="s">
        <v>69</v>
      </c>
    </row>
    <row r="17" customFormat="false" ht="12.8" hidden="false" customHeight="false" outlineLevel="0" collapsed="false">
      <c r="A17" s="5" t="str">
        <f aca="false">VLOOKUP(C17,'Lookup tables'!$A$2:$B$5,2,0)</f>
        <v>Fame</v>
      </c>
      <c r="B17" s="5" t="s">
        <v>28</v>
      </c>
      <c r="C17" s="5" t="s">
        <v>29</v>
      </c>
      <c r="D17" s="5" t="str">
        <f aca="false">VLOOKUP(_xlfn.CONCAT(A17,B17),'Lookup tables'!$G$2:$H$13,2,0)</f>
        <v>TV</v>
      </c>
      <c r="E17" s="6" t="s">
        <v>60</v>
      </c>
      <c r="F17" s="7" t="n">
        <f aca="false">VLOOKUP(E17,'Lookup tables'!$O$2:$P$4,2,0)</f>
        <v>0.6</v>
      </c>
      <c r="G17" s="5" t="str">
        <f aca="false">_xlfn.CONCAT(VLOOKUP(E17,'Lookup tables'!$O$2:$Q$4,3,0)*VLOOKUP($G$1,'Lookup tables'!$K$1:$L$2,2,0)," ",A17)</f>
        <v>4 Fame</v>
      </c>
      <c r="H17" s="5" t="str">
        <f aca="false">_xlfn.CONCAT(VLOOKUP(E17,'Lookup tables'!$O$2:$Q$4,3,0)*VLOOKUP($H$1,'Lookup tables'!$K$1:$L$2,2,0)," ",B17)</f>
        <v>2 Relevance</v>
      </c>
      <c r="I17" s="5" t="str">
        <f aca="false">_xlfn.CONCAT('Lookup tables'!$L$6*VLOOKUP(E17,'Lookup tables'!$O$2:$Q$4,3,0)," ",A17)</f>
        <v>-2 Fame</v>
      </c>
      <c r="J17" s="5" t="str">
        <f aca="false">_xlfn.CONCAT(VLOOKUP(E17,'Lookup tables'!$O$2:$R$4,4,0)," ",A17)</f>
        <v>25 Fame</v>
      </c>
      <c r="K17" s="5" t="s">
        <v>70</v>
      </c>
      <c r="L17" s="5" t="s">
        <v>71</v>
      </c>
      <c r="M17" s="5" t="s">
        <v>72</v>
      </c>
    </row>
    <row r="18" customFormat="false" ht="12.8" hidden="false" customHeight="false" outlineLevel="0" collapsed="false">
      <c r="A18" s="5" t="str">
        <f aca="false">VLOOKUP(C18,'Lookup tables'!$A$2:$B$5,2,0)</f>
        <v>Fame</v>
      </c>
      <c r="B18" s="5" t="s">
        <v>20</v>
      </c>
      <c r="C18" s="5" t="s">
        <v>29</v>
      </c>
      <c r="D18" s="5" t="str">
        <f aca="false">VLOOKUP(_xlfn.CONCAT(A18,B18),'Lookup tables'!$G$2:$H$13,2,0)</f>
        <v>Podcast</v>
      </c>
      <c r="E18" s="6" t="s">
        <v>60</v>
      </c>
      <c r="F18" s="7" t="n">
        <f aca="false">VLOOKUP(E18,'Lookup tables'!$O$2:$P$4,2,0)</f>
        <v>0.6</v>
      </c>
      <c r="G18" s="5" t="str">
        <f aca="false">_xlfn.CONCAT(VLOOKUP(E18,'Lookup tables'!$O$2:$Q$4,3,0)*VLOOKUP($G$1,'Lookup tables'!$K$1:$L$2,2,0)," ",A18)</f>
        <v>4 Fame</v>
      </c>
      <c r="H18" s="5" t="str">
        <f aca="false">_xlfn.CONCAT(VLOOKUP(E18,'Lookup tables'!$O$2:$Q$4,3,0)*VLOOKUP($H$1,'Lookup tables'!$K$1:$L$2,2,0)," ",B18)</f>
        <v>2 Money</v>
      </c>
      <c r="I18" s="5" t="str">
        <f aca="false">_xlfn.CONCAT('Lookup tables'!$L$6*VLOOKUP(E18,'Lookup tables'!$O$2:$Q$4,3,0)," ",A18)</f>
        <v>-2 Fame</v>
      </c>
      <c r="J18" s="5" t="str">
        <f aca="false">_xlfn.CONCAT(VLOOKUP(E18,'Lookup tables'!$O$2:$R$4,4,0)," ",A18)</f>
        <v>25 Fame</v>
      </c>
      <c r="K18" s="5" t="s">
        <v>73</v>
      </c>
      <c r="L18" s="5" t="s">
        <v>74</v>
      </c>
      <c r="M18" s="5" t="s">
        <v>75</v>
      </c>
    </row>
    <row r="19" customFormat="false" ht="12.8" hidden="false" customHeight="false" outlineLevel="0" collapsed="false">
      <c r="A19" s="5" t="str">
        <f aca="false">VLOOKUP(C19,'Lookup tables'!$A$2:$B$5,2,0)</f>
        <v>Fame</v>
      </c>
      <c r="B19" s="5" t="s">
        <v>24</v>
      </c>
      <c r="C19" s="5" t="s">
        <v>29</v>
      </c>
      <c r="D19" s="5" t="str">
        <f aca="false">VLOOKUP(_xlfn.CONCAT(A19,B19),'Lookup tables'!$G$2:$H$13,2,0)</f>
        <v>Stream</v>
      </c>
      <c r="E19" s="6" t="s">
        <v>60</v>
      </c>
      <c r="F19" s="7" t="n">
        <f aca="false">VLOOKUP(E19,'Lookup tables'!$O$2:$P$4,2,0)</f>
        <v>0.6</v>
      </c>
      <c r="G19" s="5" t="str">
        <f aca="false">_xlfn.CONCAT(VLOOKUP(E19,'Lookup tables'!$O$2:$Q$4,3,0)*VLOOKUP($G$1,'Lookup tables'!$K$1:$L$2,2,0)," ",A19)</f>
        <v>4 Fame</v>
      </c>
      <c r="H19" s="5" t="str">
        <f aca="false">_xlfn.CONCAT(VLOOKUP(E19,'Lookup tables'!$O$2:$Q$4,3,0)*VLOOKUP($H$1,'Lookup tables'!$K$1:$L$2,2,0)," ",B19)</f>
        <v>2 Fun</v>
      </c>
      <c r="I19" s="5" t="str">
        <f aca="false">_xlfn.CONCAT('Lookup tables'!$L$6*VLOOKUP(E19,'Lookup tables'!$O$2:$Q$4,3,0)," ",A19)</f>
        <v>-2 Fame</v>
      </c>
      <c r="J19" s="5" t="str">
        <f aca="false">_xlfn.CONCAT(VLOOKUP(E19,'Lookup tables'!$O$2:$R$4,4,0)," ",A19)</f>
        <v>25 Fame</v>
      </c>
      <c r="K19" s="5" t="s">
        <v>76</v>
      </c>
      <c r="L19" s="5" t="s">
        <v>77</v>
      </c>
      <c r="M19" s="5" t="s">
        <v>78</v>
      </c>
    </row>
    <row r="20" customFormat="false" ht="12.8" hidden="false" customHeight="false" outlineLevel="0" collapsed="false">
      <c r="A20" s="5" t="str">
        <f aca="false">VLOOKUP(C20,'Lookup tables'!$A$2:$B$5,2,0)</f>
        <v>Money</v>
      </c>
      <c r="B20" s="5" t="s">
        <v>28</v>
      </c>
      <c r="C20" s="5" t="s">
        <v>39</v>
      </c>
      <c r="D20" s="5" t="str">
        <f aca="false">VLOOKUP(_xlfn.CONCAT(A20,B20),'Lookup tables'!$G$2:$H$13,2,0)</f>
        <v>Collaboration</v>
      </c>
      <c r="E20" s="6" t="s">
        <v>60</v>
      </c>
      <c r="F20" s="7" t="n">
        <f aca="false">VLOOKUP(E20,'Lookup tables'!$O$2:$P$4,2,0)</f>
        <v>0.6</v>
      </c>
      <c r="G20" s="5" t="str">
        <f aca="false">_xlfn.CONCAT(VLOOKUP(E20,'Lookup tables'!$O$2:$Q$4,3,0)*VLOOKUP($G$1,'Lookup tables'!$K$1:$L$2,2,0)," ",A20)</f>
        <v>4 Money</v>
      </c>
      <c r="H20" s="5" t="str">
        <f aca="false">_xlfn.CONCAT(VLOOKUP(E20,'Lookup tables'!$O$2:$Q$4,3,0)*VLOOKUP($H$1,'Lookup tables'!$K$1:$L$2,2,0)," ",B20)</f>
        <v>2 Relevance</v>
      </c>
      <c r="I20" s="5" t="str">
        <f aca="false">_xlfn.CONCAT('Lookup tables'!$L$6*VLOOKUP(E20,'Lookup tables'!$O$2:$Q$4,3,0)," ",A20)</f>
        <v>-2 Money</v>
      </c>
      <c r="J20" s="5" t="str">
        <f aca="false">_xlfn.CONCAT(VLOOKUP(E20,'Lookup tables'!$O$2:$R$4,4,0)," ",A20)</f>
        <v>25 Money</v>
      </c>
      <c r="K20" s="5" t="s">
        <v>79</v>
      </c>
      <c r="L20" s="5" t="s">
        <v>80</v>
      </c>
      <c r="M20" s="5" t="s">
        <v>81</v>
      </c>
    </row>
    <row r="21" customFormat="false" ht="12.8" hidden="false" customHeight="false" outlineLevel="0" collapsed="false">
      <c r="A21" s="5" t="str">
        <f aca="false">VLOOKUP(C21,'Lookup tables'!$A$2:$B$5,2,0)</f>
        <v>Money</v>
      </c>
      <c r="B21" s="5" t="s">
        <v>13</v>
      </c>
      <c r="C21" s="5" t="s">
        <v>39</v>
      </c>
      <c r="D21" s="5" t="str">
        <f aca="false">VLOOKUP(_xlfn.CONCAT(A21,B21),'Lookup tables'!$G$2:$H$13,2,0)</f>
        <v>Single</v>
      </c>
      <c r="E21" s="6" t="s">
        <v>60</v>
      </c>
      <c r="F21" s="7" t="n">
        <f aca="false">VLOOKUP(E21,'Lookup tables'!$O$2:$P$4,2,0)</f>
        <v>0.6</v>
      </c>
      <c r="G21" s="5" t="str">
        <f aca="false">_xlfn.CONCAT(VLOOKUP(E21,'Lookup tables'!$O$2:$Q$4,3,0)*VLOOKUP($G$1,'Lookup tables'!$K$1:$L$2,2,0)," ",A21)</f>
        <v>4 Money</v>
      </c>
      <c r="H21" s="5" t="str">
        <f aca="false">_xlfn.CONCAT(VLOOKUP(E21,'Lookup tables'!$O$2:$Q$4,3,0)*VLOOKUP($H$1,'Lookup tables'!$K$1:$L$2,2,0)," ",B21)</f>
        <v>2 Fame</v>
      </c>
      <c r="I21" s="5" t="str">
        <f aca="false">_xlfn.CONCAT('Lookup tables'!$L$6*VLOOKUP(E21,'Lookup tables'!$O$2:$Q$4,3,0)," ",A21)</f>
        <v>-2 Money</v>
      </c>
      <c r="J21" s="5" t="str">
        <f aca="false">_xlfn.CONCAT(VLOOKUP(E21,'Lookup tables'!$O$2:$R$4,4,0)," ",A21)</f>
        <v>25 Money</v>
      </c>
      <c r="K21" s="5" t="s">
        <v>82</v>
      </c>
      <c r="L21" s="5" t="s">
        <v>83</v>
      </c>
      <c r="M21" s="5" t="s">
        <v>84</v>
      </c>
    </row>
    <row r="22" customFormat="false" ht="12.8" hidden="false" customHeight="false" outlineLevel="0" collapsed="false">
      <c r="A22" s="5" t="str">
        <f aca="false">VLOOKUP(C22,'Lookup tables'!$A$2:$B$5,2,0)</f>
        <v>Money</v>
      </c>
      <c r="B22" s="5" t="s">
        <v>24</v>
      </c>
      <c r="C22" s="5" t="s">
        <v>39</v>
      </c>
      <c r="D22" s="5" t="str">
        <f aca="false">VLOOKUP(_xlfn.CONCAT(A22,B22),'Lookup tables'!$G$2:$H$13,2,0)</f>
        <v>Novelty</v>
      </c>
      <c r="E22" s="6" t="s">
        <v>60</v>
      </c>
      <c r="F22" s="7" t="n">
        <f aca="false">VLOOKUP(E22,'Lookup tables'!$O$2:$P$4,2,0)</f>
        <v>0.6</v>
      </c>
      <c r="G22" s="5" t="str">
        <f aca="false">_xlfn.CONCAT(VLOOKUP(E22,'Lookup tables'!$O$2:$Q$4,3,0)*VLOOKUP($G$1,'Lookup tables'!$K$1:$L$2,2,0)," ",A22)</f>
        <v>4 Money</v>
      </c>
      <c r="H22" s="5" t="str">
        <f aca="false">_xlfn.CONCAT(VLOOKUP(E22,'Lookup tables'!$O$2:$Q$4,3,0)*VLOOKUP($H$1,'Lookup tables'!$K$1:$L$2,2,0)," ",B22)</f>
        <v>2 Fun</v>
      </c>
      <c r="I22" s="5" t="str">
        <f aca="false">_xlfn.CONCAT('Lookup tables'!$L$6*VLOOKUP(E22,'Lookup tables'!$O$2:$Q$4,3,0)," ",A22)</f>
        <v>-2 Money</v>
      </c>
      <c r="J22" s="5" t="str">
        <f aca="false">_xlfn.CONCAT(VLOOKUP(E22,'Lookup tables'!$O$2:$R$4,4,0)," ",A22)</f>
        <v>25 Money</v>
      </c>
      <c r="K22" s="5" t="s">
        <v>85</v>
      </c>
      <c r="L22" s="5" t="s">
        <v>86</v>
      </c>
      <c r="M22" s="5" t="s">
        <v>87</v>
      </c>
    </row>
    <row r="23" customFormat="false" ht="12.8" hidden="false" customHeight="false" outlineLevel="0" collapsed="false">
      <c r="A23" s="5" t="str">
        <f aca="false">VLOOKUP(C23,'Lookup tables'!$A$2:$B$5,2,0)</f>
        <v>Fun</v>
      </c>
      <c r="B23" s="5" t="s">
        <v>28</v>
      </c>
      <c r="C23" s="5" t="s">
        <v>49</v>
      </c>
      <c r="D23" s="5" t="str">
        <f aca="false">VLOOKUP(_xlfn.CONCAT(A23,B23),'Lookup tables'!$G$2:$H$13,2,0)</f>
        <v>Viral</v>
      </c>
      <c r="E23" s="6" t="s">
        <v>60</v>
      </c>
      <c r="F23" s="7" t="n">
        <f aca="false">VLOOKUP(E23,'Lookup tables'!$O$2:$P$4,2,0)</f>
        <v>0.6</v>
      </c>
      <c r="G23" s="5" t="str">
        <f aca="false">_xlfn.CONCAT(VLOOKUP(E23,'Lookup tables'!$O$2:$Q$4,3,0)*VLOOKUP($G$1,'Lookup tables'!$K$1:$L$2,2,0)," ",A23)</f>
        <v>4 Fun</v>
      </c>
      <c r="H23" s="5" t="str">
        <f aca="false">_xlfn.CONCAT(VLOOKUP(E23,'Lookup tables'!$O$2:$Q$4,3,0)*VLOOKUP($H$1,'Lookup tables'!$K$1:$L$2,2,0)," ",B23)</f>
        <v>2 Relevance</v>
      </c>
      <c r="I23" s="5" t="str">
        <f aca="false">_xlfn.CONCAT('Lookup tables'!$L$6*VLOOKUP(E23,'Lookup tables'!$O$2:$Q$4,3,0)," ",A23)</f>
        <v>-2 Fun</v>
      </c>
      <c r="J23" s="5" t="str">
        <f aca="false">_xlfn.CONCAT(VLOOKUP(E23,'Lookup tables'!$O$2:$R$4,4,0)," ",A23)</f>
        <v>25 Fun</v>
      </c>
      <c r="K23" s="5" t="s">
        <v>88</v>
      </c>
      <c r="L23" s="5" t="s">
        <v>89</v>
      </c>
      <c r="M23" s="5" t="s">
        <v>90</v>
      </c>
    </row>
    <row r="24" customFormat="false" ht="12.8" hidden="false" customHeight="false" outlineLevel="0" collapsed="false">
      <c r="A24" s="5" t="str">
        <f aca="false">VLOOKUP(C24,'Lookup tables'!$A$2:$B$5,2,0)</f>
        <v>Fun</v>
      </c>
      <c r="B24" s="5" t="s">
        <v>13</v>
      </c>
      <c r="C24" s="5" t="s">
        <v>49</v>
      </c>
      <c r="D24" s="5" t="str">
        <f aca="false">VLOOKUP(_xlfn.CONCAT(A24,B24),'Lookup tables'!$G$2:$H$13,2,0)</f>
        <v>Prank</v>
      </c>
      <c r="E24" s="6" t="s">
        <v>60</v>
      </c>
      <c r="F24" s="7" t="n">
        <f aca="false">VLOOKUP(E24,'Lookup tables'!$O$2:$P$4,2,0)</f>
        <v>0.6</v>
      </c>
      <c r="G24" s="5" t="str">
        <f aca="false">_xlfn.CONCAT(VLOOKUP(E24,'Lookup tables'!$O$2:$Q$4,3,0)*VLOOKUP($G$1,'Lookup tables'!$K$1:$L$2,2,0)," ",A24)</f>
        <v>4 Fun</v>
      </c>
      <c r="H24" s="5" t="str">
        <f aca="false">_xlfn.CONCAT(VLOOKUP(E24,'Lookup tables'!$O$2:$Q$4,3,0)*VLOOKUP($H$1,'Lookup tables'!$K$1:$L$2,2,0)," ",B24)</f>
        <v>2 Fame</v>
      </c>
      <c r="I24" s="5" t="str">
        <f aca="false">_xlfn.CONCAT('Lookup tables'!$L$6*VLOOKUP(E24,'Lookup tables'!$O$2:$Q$4,3,0)," ",A24)</f>
        <v>-2 Fun</v>
      </c>
      <c r="J24" s="5" t="str">
        <f aca="false">_xlfn.CONCAT(VLOOKUP(E24,'Lookup tables'!$O$2:$R$4,4,0)," ",A24)</f>
        <v>25 Fun</v>
      </c>
      <c r="K24" s="5" t="s">
        <v>91</v>
      </c>
      <c r="L24" s="5" t="s">
        <v>92</v>
      </c>
      <c r="M24" s="5" t="s">
        <v>93</v>
      </c>
    </row>
    <row r="25" customFormat="false" ht="12.8" hidden="false" customHeight="false" outlineLevel="0" collapsed="false">
      <c r="A25" s="5" t="str">
        <f aca="false">VLOOKUP(C25,'Lookup tables'!$A$2:$B$5,2,0)</f>
        <v>Fun</v>
      </c>
      <c r="B25" s="5" t="s">
        <v>20</v>
      </c>
      <c r="C25" s="5" t="s">
        <v>49</v>
      </c>
      <c r="D25" s="5" t="s">
        <v>56</v>
      </c>
      <c r="E25" s="6" t="s">
        <v>60</v>
      </c>
      <c r="F25" s="7" t="n">
        <f aca="false">VLOOKUP(E25,'Lookup tables'!$O$2:$P$4,2,0)</f>
        <v>0.6</v>
      </c>
      <c r="G25" s="5" t="str">
        <f aca="false">_xlfn.CONCAT(VLOOKUP(E25,'Lookup tables'!$O$2:$Q$4,3,0)*VLOOKUP($G$1,'Lookup tables'!$K$1:$L$2,2,0)," ",A25)</f>
        <v>4 Fun</v>
      </c>
      <c r="H25" s="5" t="str">
        <f aca="false">_xlfn.CONCAT(VLOOKUP(E25,'Lookup tables'!$O$2:$Q$4,3,0)*VLOOKUP($H$1,'Lookup tables'!$K$1:$L$2,2,0)," ",B25)</f>
        <v>2 Money</v>
      </c>
      <c r="I25" s="5" t="str">
        <f aca="false">_xlfn.CONCAT('Lookup tables'!$L$6*VLOOKUP(E25,'Lookup tables'!$O$2:$Q$4,3,0)," ",A25)</f>
        <v>-2 Fun</v>
      </c>
      <c r="J25" s="5" t="str">
        <f aca="false">_xlfn.CONCAT(VLOOKUP(E25,'Lookup tables'!$O$2:$R$4,4,0)," ",A25)</f>
        <v>25 Fun</v>
      </c>
      <c r="K25" s="5" t="s">
        <v>94</v>
      </c>
      <c r="L25" s="5" t="s">
        <v>95</v>
      </c>
      <c r="M25" s="5" t="s">
        <v>96</v>
      </c>
    </row>
    <row r="26" customFormat="false" ht="12.8" hidden="false" customHeight="false" outlineLevel="0" collapsed="false">
      <c r="A26" s="11" t="str">
        <f aca="false">VLOOKUP(C26,'Lookup tables'!$A$2:$B$5,2,0)</f>
        <v>Relevance</v>
      </c>
      <c r="B26" s="11" t="s">
        <v>13</v>
      </c>
      <c r="C26" s="11" t="s">
        <v>14</v>
      </c>
      <c r="D26" s="11" t="s">
        <v>15</v>
      </c>
      <c r="E26" s="12" t="s">
        <v>97</v>
      </c>
      <c r="F26" s="13" t="n">
        <f aca="false">VLOOKUP(E26,'Lookup tables'!$O$2:$P$4,2,0)</f>
        <v>0.45</v>
      </c>
      <c r="G26" s="11" t="str">
        <f aca="false">_xlfn.CONCAT(VLOOKUP(E26,'Lookup tables'!$O$2:$Q$4,3,0)*VLOOKUP($G$1,'Lookup tables'!$K$1:$L$2,2,0)," ",A26)</f>
        <v>6 Relevance</v>
      </c>
      <c r="H26" s="11" t="str">
        <f aca="false">_xlfn.CONCAT(VLOOKUP(E26,'Lookup tables'!$O$2:$Q$4,3,0)*VLOOKUP($H$1,'Lookup tables'!$K$1:$L$2,2,0)," ",B26)</f>
        <v>3 Fame</v>
      </c>
      <c r="I26" s="11" t="str">
        <f aca="false">_xlfn.CONCAT('Lookup tables'!$L$6*VLOOKUP(E26,'Lookup tables'!$O$2:$Q$4,3,0)," ",A26)</f>
        <v>-3 Relevance</v>
      </c>
      <c r="J26" s="11" t="str">
        <f aca="false">_xlfn.CONCAT(VLOOKUP(E26,'Lookup tables'!$O$2:$R$4,4,0)," ",A26)</f>
        <v>40 Relevance</v>
      </c>
      <c r="K26" s="11" t="s">
        <v>98</v>
      </c>
      <c r="L26" s="11" t="s">
        <v>99</v>
      </c>
      <c r="M26" s="11" t="s">
        <v>100</v>
      </c>
    </row>
    <row r="27" customFormat="false" ht="12.8" hidden="false" customHeight="false" outlineLevel="0" collapsed="false">
      <c r="A27" s="5" t="str">
        <f aca="false">VLOOKUP(C27,'Lookup tables'!$A$2:$B$5,2,0)</f>
        <v>Relevance</v>
      </c>
      <c r="B27" s="5" t="s">
        <v>20</v>
      </c>
      <c r="C27" s="5" t="s">
        <v>14</v>
      </c>
      <c r="D27" s="5" t="str">
        <f aca="false">VLOOKUP(_xlfn.CONCAT(A27,B27),'Lookup tables'!$G$2:$H$13,2,0)</f>
        <v>Gig</v>
      </c>
      <c r="E27" s="6" t="s">
        <v>97</v>
      </c>
      <c r="F27" s="7" t="n">
        <f aca="false">VLOOKUP(E27,'Lookup tables'!$O$2:$P$4,2,0)</f>
        <v>0.45</v>
      </c>
      <c r="G27" s="5" t="str">
        <f aca="false">_xlfn.CONCAT(VLOOKUP(E27,'Lookup tables'!$O$2:$Q$4,3,0)*VLOOKUP($G$1,'Lookup tables'!$K$1:$L$2,2,0)," ",A27)</f>
        <v>6 Relevance</v>
      </c>
      <c r="H27" s="5" t="str">
        <f aca="false">_xlfn.CONCAT(VLOOKUP(E27,'Lookup tables'!$O$2:$Q$4,3,0)*VLOOKUP($H$1,'Lookup tables'!$K$1:$L$2,2,0)," ",B27)</f>
        <v>3 Money</v>
      </c>
      <c r="I27" s="5" t="str">
        <f aca="false">_xlfn.CONCAT('Lookup tables'!$L$6*VLOOKUP(E27,'Lookup tables'!$O$2:$Q$4,3,0)," ",A27)</f>
        <v>-3 Relevance</v>
      </c>
      <c r="J27" s="5" t="str">
        <f aca="false">_xlfn.CONCAT(VLOOKUP(E27,'Lookup tables'!$O$2:$R$4,4,0)," ",A27)</f>
        <v>40 Relevance</v>
      </c>
      <c r="K27" s="5" t="s">
        <v>101</v>
      </c>
      <c r="L27" s="5" t="s">
        <v>102</v>
      </c>
      <c r="M27" s="5" t="s">
        <v>103</v>
      </c>
    </row>
    <row r="28" customFormat="false" ht="12.8" hidden="false" customHeight="false" outlineLevel="0" collapsed="false">
      <c r="A28" s="5" t="str">
        <f aca="false">VLOOKUP(C28,'Lookup tables'!$A$2:$B$5,2,0)</f>
        <v>Relevance</v>
      </c>
      <c r="B28" s="5" t="s">
        <v>24</v>
      </c>
      <c r="C28" s="5" t="s">
        <v>14</v>
      </c>
      <c r="D28" s="5" t="str">
        <f aca="false">VLOOKUP(_xlfn.CONCAT(A28,B28),'Lookup tables'!$G$2:$H$13,2,0)</f>
        <v>Festival</v>
      </c>
      <c r="E28" s="6" t="s">
        <v>97</v>
      </c>
      <c r="F28" s="7" t="n">
        <f aca="false">VLOOKUP(E28,'Lookup tables'!$O$2:$P$4,2,0)</f>
        <v>0.45</v>
      </c>
      <c r="G28" s="5" t="str">
        <f aca="false">_xlfn.CONCAT(VLOOKUP(E28,'Lookup tables'!$O$2:$Q$4,3,0)*VLOOKUP($G$1,'Lookup tables'!$K$1:$L$2,2,0)," ",A28)</f>
        <v>6 Relevance</v>
      </c>
      <c r="H28" s="5" t="str">
        <f aca="false">_xlfn.CONCAT(VLOOKUP(E28,'Lookup tables'!$O$2:$Q$4,3,0)*VLOOKUP($H$1,'Lookup tables'!$K$1:$L$2,2,0)," ",B28)</f>
        <v>3 Fun</v>
      </c>
      <c r="I28" s="5" t="str">
        <f aca="false">_xlfn.CONCAT('Lookup tables'!$L$6*VLOOKUP(E28,'Lookup tables'!$O$2:$Q$4,3,0)," ",A28)</f>
        <v>-3 Relevance</v>
      </c>
      <c r="J28" s="5" t="str">
        <f aca="false">_xlfn.CONCAT(VLOOKUP(E28,'Lookup tables'!$O$2:$R$4,4,0)," ",A28)</f>
        <v>40 Relevance</v>
      </c>
      <c r="K28" s="5" t="s">
        <v>104</v>
      </c>
      <c r="L28" s="5" t="s">
        <v>105</v>
      </c>
      <c r="M28" s="5" t="s">
        <v>106</v>
      </c>
    </row>
    <row r="29" customFormat="false" ht="12.8" hidden="false" customHeight="false" outlineLevel="0" collapsed="false">
      <c r="A29" s="5" t="str">
        <f aca="false">VLOOKUP(C29,'Lookup tables'!$A$2:$B$5,2,0)</f>
        <v>Fame</v>
      </c>
      <c r="B29" s="5" t="s">
        <v>28</v>
      </c>
      <c r="C29" s="5" t="s">
        <v>29</v>
      </c>
      <c r="D29" s="5" t="str">
        <f aca="false">VLOOKUP(_xlfn.CONCAT(A29,B29),'Lookup tables'!$G$2:$H$13,2,0)</f>
        <v>TV</v>
      </c>
      <c r="E29" s="6" t="s">
        <v>97</v>
      </c>
      <c r="F29" s="7" t="n">
        <f aca="false">VLOOKUP(E29,'Lookup tables'!$O$2:$P$4,2,0)</f>
        <v>0.45</v>
      </c>
      <c r="G29" s="5" t="str">
        <f aca="false">_xlfn.CONCAT(VLOOKUP(E29,'Lookup tables'!$O$2:$Q$4,3,0)*VLOOKUP($G$1,'Lookup tables'!$K$1:$L$2,2,0)," ",A29)</f>
        <v>6 Fame</v>
      </c>
      <c r="H29" s="5" t="str">
        <f aca="false">_xlfn.CONCAT(VLOOKUP(E29,'Lookup tables'!$O$2:$Q$4,3,0)*VLOOKUP($H$1,'Lookup tables'!$K$1:$L$2,2,0)," ",B29)</f>
        <v>3 Relevance</v>
      </c>
      <c r="I29" s="5" t="str">
        <f aca="false">_xlfn.CONCAT('Lookup tables'!$L$6*VLOOKUP(E29,'Lookup tables'!$O$2:$Q$4,3,0)," ",A29)</f>
        <v>-3 Fame</v>
      </c>
      <c r="J29" s="5" t="str">
        <f aca="false">_xlfn.CONCAT(VLOOKUP(E29,'Lookup tables'!$O$2:$R$4,4,0)," ",A29)</f>
        <v>40 Fame</v>
      </c>
      <c r="K29" s="5" t="s">
        <v>107</v>
      </c>
      <c r="L29" s="5" t="s">
        <v>108</v>
      </c>
      <c r="M29" s="5" t="s">
        <v>109</v>
      </c>
    </row>
    <row r="30" customFormat="false" ht="12.8" hidden="false" customHeight="false" outlineLevel="0" collapsed="false">
      <c r="A30" s="5" t="str">
        <f aca="false">VLOOKUP(C30,'Lookup tables'!$A$2:$B$5,2,0)</f>
        <v>Fame</v>
      </c>
      <c r="B30" s="5" t="s">
        <v>20</v>
      </c>
      <c r="C30" s="5" t="s">
        <v>29</v>
      </c>
      <c r="D30" s="5" t="str">
        <f aca="false">VLOOKUP(_xlfn.CONCAT(A30,B30),'Lookup tables'!$G$2:$H$13,2,0)</f>
        <v>Podcast</v>
      </c>
      <c r="E30" s="6" t="s">
        <v>97</v>
      </c>
      <c r="F30" s="7" t="n">
        <f aca="false">VLOOKUP(E30,'Lookup tables'!$O$2:$P$4,2,0)</f>
        <v>0.45</v>
      </c>
      <c r="G30" s="5" t="str">
        <f aca="false">_xlfn.CONCAT(VLOOKUP(E30,'Lookup tables'!$O$2:$Q$4,3,0)*VLOOKUP($G$1,'Lookup tables'!$K$1:$L$2,2,0)," ",A30)</f>
        <v>6 Fame</v>
      </c>
      <c r="H30" s="5" t="str">
        <f aca="false">_xlfn.CONCAT(VLOOKUP(E30,'Lookup tables'!$O$2:$Q$4,3,0)*VLOOKUP($H$1,'Lookup tables'!$K$1:$L$2,2,0)," ",B30)</f>
        <v>3 Money</v>
      </c>
      <c r="I30" s="5" t="str">
        <f aca="false">_xlfn.CONCAT('Lookup tables'!$L$6*VLOOKUP(E30,'Lookup tables'!$O$2:$Q$4,3,0)," ",A30)</f>
        <v>-3 Fame</v>
      </c>
      <c r="J30" s="5" t="str">
        <f aca="false">_xlfn.CONCAT(VLOOKUP(E30,'Lookup tables'!$O$2:$R$4,4,0)," ",A30)</f>
        <v>40 Fame</v>
      </c>
      <c r="K30" s="5" t="s">
        <v>110</v>
      </c>
      <c r="L30" s="5" t="s">
        <v>111</v>
      </c>
      <c r="M30" s="5" t="s">
        <v>112</v>
      </c>
    </row>
    <row r="31" customFormat="false" ht="12.8" hidden="false" customHeight="false" outlineLevel="0" collapsed="false">
      <c r="A31" s="5" t="str">
        <f aca="false">VLOOKUP(C31,'Lookup tables'!$A$2:$B$5,2,0)</f>
        <v>Fame</v>
      </c>
      <c r="B31" s="5" t="s">
        <v>24</v>
      </c>
      <c r="C31" s="5" t="s">
        <v>29</v>
      </c>
      <c r="D31" s="5" t="str">
        <f aca="false">VLOOKUP(_xlfn.CONCAT(A31,B31),'Lookup tables'!$G$2:$H$13,2,0)</f>
        <v>Stream</v>
      </c>
      <c r="E31" s="6" t="s">
        <v>97</v>
      </c>
      <c r="F31" s="7" t="n">
        <f aca="false">VLOOKUP(E31,'Lookup tables'!$O$2:$P$4,2,0)</f>
        <v>0.45</v>
      </c>
      <c r="G31" s="5" t="str">
        <f aca="false">_xlfn.CONCAT(VLOOKUP(E31,'Lookup tables'!$O$2:$Q$4,3,0)*VLOOKUP($G$1,'Lookup tables'!$K$1:$L$2,2,0)," ",A31)</f>
        <v>6 Fame</v>
      </c>
      <c r="H31" s="5" t="str">
        <f aca="false">_xlfn.CONCAT(VLOOKUP(E31,'Lookup tables'!$O$2:$Q$4,3,0)*VLOOKUP($H$1,'Lookup tables'!$K$1:$L$2,2,0)," ",B31)</f>
        <v>3 Fun</v>
      </c>
      <c r="I31" s="5" t="str">
        <f aca="false">_xlfn.CONCAT('Lookup tables'!$L$6*VLOOKUP(E31,'Lookup tables'!$O$2:$Q$4,3,0)," ",A31)</f>
        <v>-3 Fame</v>
      </c>
      <c r="J31" s="5" t="str">
        <f aca="false">_xlfn.CONCAT(VLOOKUP(E31,'Lookup tables'!$O$2:$R$4,4,0)," ",A31)</f>
        <v>40 Fame</v>
      </c>
      <c r="K31" s="5" t="s">
        <v>113</v>
      </c>
      <c r="L31" s="5" t="s">
        <v>114</v>
      </c>
      <c r="M31" s="5" t="s">
        <v>115</v>
      </c>
    </row>
    <row r="32" customFormat="false" ht="12.8" hidden="false" customHeight="false" outlineLevel="0" collapsed="false">
      <c r="A32" s="5" t="str">
        <f aca="false">VLOOKUP(C32,'Lookup tables'!$A$2:$B$5,2,0)</f>
        <v>Money</v>
      </c>
      <c r="B32" s="5" t="s">
        <v>28</v>
      </c>
      <c r="C32" s="5" t="s">
        <v>39</v>
      </c>
      <c r="D32" s="5" t="str">
        <f aca="false">VLOOKUP(_xlfn.CONCAT(A32,B32),'Lookup tables'!$G$2:$H$13,2,0)</f>
        <v>Collaboration</v>
      </c>
      <c r="E32" s="6" t="s">
        <v>97</v>
      </c>
      <c r="F32" s="7" t="n">
        <f aca="false">VLOOKUP(E32,'Lookup tables'!$O$2:$P$4,2,0)</f>
        <v>0.45</v>
      </c>
      <c r="G32" s="5" t="str">
        <f aca="false">_xlfn.CONCAT(VLOOKUP(E32,'Lookup tables'!$O$2:$Q$4,3,0)*VLOOKUP($G$1,'Lookup tables'!$K$1:$L$2,2,0)," ",A32)</f>
        <v>6 Money</v>
      </c>
      <c r="H32" s="5" t="str">
        <f aca="false">_xlfn.CONCAT(VLOOKUP(E32,'Lookup tables'!$O$2:$Q$4,3,0)*VLOOKUP($H$1,'Lookup tables'!$K$1:$L$2,2,0)," ",B32)</f>
        <v>3 Relevance</v>
      </c>
      <c r="I32" s="5" t="str">
        <f aca="false">_xlfn.CONCAT('Lookup tables'!$L$6*VLOOKUP(E32,'Lookup tables'!$O$2:$Q$4,3,0)," ",A32)</f>
        <v>-3 Money</v>
      </c>
      <c r="J32" s="5" t="str">
        <f aca="false">_xlfn.CONCAT(VLOOKUP(E32,'Lookup tables'!$O$2:$R$4,4,0)," ",A32)</f>
        <v>40 Money</v>
      </c>
      <c r="K32" s="5" t="s">
        <v>116</v>
      </c>
      <c r="L32" s="5" t="s">
        <v>117</v>
      </c>
      <c r="M32" s="5" t="s">
        <v>118</v>
      </c>
    </row>
    <row r="33" customFormat="false" ht="12.8" hidden="false" customHeight="false" outlineLevel="0" collapsed="false">
      <c r="A33" s="5" t="str">
        <f aca="false">VLOOKUP(C33,'Lookup tables'!$A$2:$B$5,2,0)</f>
        <v>Money</v>
      </c>
      <c r="B33" s="5" t="s">
        <v>13</v>
      </c>
      <c r="C33" s="5" t="s">
        <v>39</v>
      </c>
      <c r="D33" s="5" t="str">
        <f aca="false">VLOOKUP(_xlfn.CONCAT(A33,B33),'Lookup tables'!$G$2:$H$13,2,0)</f>
        <v>Single</v>
      </c>
      <c r="E33" s="6" t="s">
        <v>97</v>
      </c>
      <c r="F33" s="7" t="n">
        <f aca="false">VLOOKUP(E33,'Lookup tables'!$O$2:$P$4,2,0)</f>
        <v>0.45</v>
      </c>
      <c r="G33" s="5" t="str">
        <f aca="false">_xlfn.CONCAT(VLOOKUP(E33,'Lookup tables'!$O$2:$Q$4,3,0)*VLOOKUP($G$1,'Lookup tables'!$K$1:$L$2,2,0)," ",A33)</f>
        <v>6 Money</v>
      </c>
      <c r="H33" s="5" t="str">
        <f aca="false">_xlfn.CONCAT(VLOOKUP(E33,'Lookup tables'!$O$2:$Q$4,3,0)*VLOOKUP($H$1,'Lookup tables'!$K$1:$L$2,2,0)," ",B33)</f>
        <v>3 Fame</v>
      </c>
      <c r="I33" s="5" t="str">
        <f aca="false">_xlfn.CONCAT('Lookup tables'!$L$6*VLOOKUP(E33,'Lookup tables'!$O$2:$Q$4,3,0)," ",A33)</f>
        <v>-3 Money</v>
      </c>
      <c r="J33" s="5" t="str">
        <f aca="false">_xlfn.CONCAT(VLOOKUP(E33,'Lookup tables'!$O$2:$R$4,4,0)," ",A33)</f>
        <v>40 Money</v>
      </c>
      <c r="K33" s="5" t="s">
        <v>119</v>
      </c>
      <c r="L33" s="5" t="s">
        <v>120</v>
      </c>
      <c r="M33" s="5" t="s">
        <v>121</v>
      </c>
    </row>
    <row r="34" customFormat="false" ht="12.8" hidden="false" customHeight="false" outlineLevel="0" collapsed="false">
      <c r="A34" s="5" t="str">
        <f aca="false">VLOOKUP(C34,'Lookup tables'!$A$2:$B$5,2,0)</f>
        <v>Money</v>
      </c>
      <c r="B34" s="5" t="s">
        <v>24</v>
      </c>
      <c r="C34" s="5" t="s">
        <v>39</v>
      </c>
      <c r="D34" s="5" t="str">
        <f aca="false">VLOOKUP(_xlfn.CONCAT(A34,B34),'Lookup tables'!$G$2:$H$13,2,0)</f>
        <v>Novelty</v>
      </c>
      <c r="E34" s="6" t="s">
        <v>97</v>
      </c>
      <c r="F34" s="7" t="n">
        <f aca="false">VLOOKUP(E34,'Lookup tables'!$O$2:$P$4,2,0)</f>
        <v>0.45</v>
      </c>
      <c r="G34" s="5" t="str">
        <f aca="false">_xlfn.CONCAT(VLOOKUP(E34,'Lookup tables'!$O$2:$Q$4,3,0)*VLOOKUP($G$1,'Lookup tables'!$K$1:$L$2,2,0)," ",A34)</f>
        <v>6 Money</v>
      </c>
      <c r="H34" s="5" t="str">
        <f aca="false">_xlfn.CONCAT(VLOOKUP(E34,'Lookup tables'!$O$2:$Q$4,3,0)*VLOOKUP($H$1,'Lookup tables'!$K$1:$L$2,2,0)," ",B34)</f>
        <v>3 Fun</v>
      </c>
      <c r="I34" s="5" t="str">
        <f aca="false">_xlfn.CONCAT('Lookup tables'!$L$6*VLOOKUP(E34,'Lookup tables'!$O$2:$Q$4,3,0)," ",A34)</f>
        <v>-3 Money</v>
      </c>
      <c r="J34" s="5" t="str">
        <f aca="false">_xlfn.CONCAT(VLOOKUP(E34,'Lookup tables'!$O$2:$R$4,4,0)," ",A34)</f>
        <v>40 Money</v>
      </c>
      <c r="K34" s="5" t="s">
        <v>122</v>
      </c>
      <c r="L34" s="5" t="s">
        <v>123</v>
      </c>
      <c r="M34" s="5" t="s">
        <v>124</v>
      </c>
    </row>
    <row r="35" customFormat="false" ht="12.8" hidden="false" customHeight="false" outlineLevel="0" collapsed="false">
      <c r="A35" s="5" t="str">
        <f aca="false">VLOOKUP(C35,'Lookup tables'!$A$2:$B$5,2,0)</f>
        <v>Fun</v>
      </c>
      <c r="B35" s="5" t="s">
        <v>28</v>
      </c>
      <c r="C35" s="5" t="s">
        <v>49</v>
      </c>
      <c r="D35" s="5" t="str">
        <f aca="false">VLOOKUP(_xlfn.CONCAT(A35,B35),'Lookup tables'!$G$2:$H$13,2,0)</f>
        <v>Viral</v>
      </c>
      <c r="E35" s="6" t="s">
        <v>97</v>
      </c>
      <c r="F35" s="7" t="n">
        <f aca="false">VLOOKUP(E35,'Lookup tables'!$O$2:$P$4,2,0)</f>
        <v>0.45</v>
      </c>
      <c r="G35" s="5" t="str">
        <f aca="false">_xlfn.CONCAT(VLOOKUP(E35,'Lookup tables'!$O$2:$Q$4,3,0)*VLOOKUP($G$1,'Lookup tables'!$K$1:$L$2,2,0)," ",A35)</f>
        <v>6 Fun</v>
      </c>
      <c r="H35" s="5" t="str">
        <f aca="false">_xlfn.CONCAT(VLOOKUP(E35,'Lookup tables'!$O$2:$Q$4,3,0)*VLOOKUP($H$1,'Lookup tables'!$K$1:$L$2,2,0)," ",B35)</f>
        <v>3 Relevance</v>
      </c>
      <c r="I35" s="5" t="str">
        <f aca="false">_xlfn.CONCAT('Lookup tables'!$L$6*VLOOKUP(E35,'Lookup tables'!$O$2:$Q$4,3,0)," ",A35)</f>
        <v>-3 Fun</v>
      </c>
      <c r="J35" s="5" t="str">
        <f aca="false">_xlfn.CONCAT(VLOOKUP(E35,'Lookup tables'!$O$2:$R$4,4,0)," ",A35)</f>
        <v>40 Fun</v>
      </c>
      <c r="K35" s="5" t="s">
        <v>125</v>
      </c>
      <c r="L35" s="5" t="s">
        <v>126</v>
      </c>
      <c r="M35" s="5" t="s">
        <v>127</v>
      </c>
    </row>
    <row r="36" customFormat="false" ht="12.8" hidden="false" customHeight="false" outlineLevel="0" collapsed="false">
      <c r="A36" s="5" t="str">
        <f aca="false">VLOOKUP(C36,'Lookup tables'!$A$2:$B$5,2,0)</f>
        <v>Fun</v>
      </c>
      <c r="B36" s="5" t="s">
        <v>13</v>
      </c>
      <c r="C36" s="5" t="s">
        <v>49</v>
      </c>
      <c r="D36" s="5" t="str">
        <f aca="false">VLOOKUP(_xlfn.CONCAT(A36,B36),'Lookup tables'!$G$2:$H$13,2,0)</f>
        <v>Prank</v>
      </c>
      <c r="E36" s="6" t="s">
        <v>97</v>
      </c>
      <c r="F36" s="7" t="n">
        <f aca="false">VLOOKUP(E36,'Lookup tables'!$O$2:$P$4,2,0)</f>
        <v>0.45</v>
      </c>
      <c r="G36" s="5" t="str">
        <f aca="false">_xlfn.CONCAT(VLOOKUP(E36,'Lookup tables'!$O$2:$Q$4,3,0)*VLOOKUP($G$1,'Lookup tables'!$K$1:$L$2,2,0)," ",A36)</f>
        <v>6 Fun</v>
      </c>
      <c r="H36" s="5" t="str">
        <f aca="false">_xlfn.CONCAT(VLOOKUP(E36,'Lookup tables'!$O$2:$Q$4,3,0)*VLOOKUP($H$1,'Lookup tables'!$K$1:$L$2,2,0)," ",B36)</f>
        <v>3 Fame</v>
      </c>
      <c r="I36" s="5" t="str">
        <f aca="false">_xlfn.CONCAT('Lookup tables'!$L$6*VLOOKUP(E36,'Lookup tables'!$O$2:$Q$4,3,0)," ",A36)</f>
        <v>-3 Fun</v>
      </c>
      <c r="J36" s="5" t="str">
        <f aca="false">_xlfn.CONCAT(VLOOKUP(E36,'Lookup tables'!$O$2:$R$4,4,0)," ",A36)</f>
        <v>40 Fun</v>
      </c>
      <c r="K36" s="5" t="s">
        <v>128</v>
      </c>
      <c r="L36" s="5" t="s">
        <v>129</v>
      </c>
      <c r="M36" s="5" t="s">
        <v>130</v>
      </c>
    </row>
    <row r="37" customFormat="false" ht="12.8" hidden="false" customHeight="false" outlineLevel="0" collapsed="false">
      <c r="A37" s="5" t="str">
        <f aca="false">VLOOKUP(C37,'Lookup tables'!$A$2:$B$5,2,0)</f>
        <v>Fun</v>
      </c>
      <c r="B37" s="5" t="s">
        <v>20</v>
      </c>
      <c r="C37" s="5" t="s">
        <v>49</v>
      </c>
      <c r="D37" s="5" t="s">
        <v>56</v>
      </c>
      <c r="E37" s="6" t="s">
        <v>97</v>
      </c>
      <c r="F37" s="7" t="n">
        <f aca="false">VLOOKUP(E37,'Lookup tables'!$O$2:$P$4,2,0)</f>
        <v>0.45</v>
      </c>
      <c r="G37" s="5" t="str">
        <f aca="false">_xlfn.CONCAT(VLOOKUP(E37,'Lookup tables'!$O$2:$Q$4,3,0)*VLOOKUP($G$1,'Lookup tables'!$K$1:$L$2,2,0)," ",A37)</f>
        <v>6 Fun</v>
      </c>
      <c r="H37" s="5" t="str">
        <f aca="false">_xlfn.CONCAT(VLOOKUP(E37,'Lookup tables'!$O$2:$Q$4,3,0)*VLOOKUP($H$1,'Lookup tables'!$K$1:$L$2,2,0)," ",B37)</f>
        <v>3 Money</v>
      </c>
      <c r="I37" s="5" t="str">
        <f aca="false">_xlfn.CONCAT('Lookup tables'!$L$6*VLOOKUP(E37,'Lookup tables'!$O$2:$Q$4,3,0)," ",A37)</f>
        <v>-3 Fun</v>
      </c>
      <c r="J37" s="5" t="str">
        <f aca="false">_xlfn.CONCAT(VLOOKUP(E37,'Lookup tables'!$O$2:$R$4,4,0)," ",A37)</f>
        <v>40 Fun</v>
      </c>
      <c r="K37" s="5" t="s">
        <v>131</v>
      </c>
      <c r="L37" s="5" t="s">
        <v>132</v>
      </c>
      <c r="M37" s="5" t="s">
        <v>133</v>
      </c>
    </row>
  </sheetData>
  <conditionalFormatting sqref="A2:M36 A37:E37 G37:M37">
    <cfRule type="expression" priority="2" aboveAverage="0" equalAverage="0" bottom="0" percent="0" rank="0" text="" dxfId="0">
      <formula>$E2="Easy"</formula>
    </cfRule>
    <cfRule type="expression" priority="3" aboveAverage="0" equalAverage="0" bottom="0" percent="0" rank="0" text="" dxfId="1">
      <formula>$E2="Medium"</formula>
    </cfRule>
    <cfRule type="expression" priority="4" aboveAverage="0" equalAverage="0" bottom="0" percent="0" rank="0" text="" dxfId="2">
      <formula>$E2="Hard"</formula>
    </cfRule>
  </conditionalFormatting>
  <conditionalFormatting sqref="F37">
    <cfRule type="expression" priority="5" aboveAverage="0" equalAverage="0" bottom="0" percent="0" rank="0" text="" dxfId="0">
      <formula>$E37="Easy"</formula>
    </cfRule>
    <cfRule type="expression" priority="6" aboveAverage="0" equalAverage="0" bottom="0" percent="0" rank="0" text="" dxfId="1">
      <formula>$E37="Medium"</formula>
    </cfRule>
    <cfRule type="expression" priority="7" aboveAverage="0" equalAverage="0" bottom="0" percent="0" rank="0" text="" dxfId="2">
      <formula>$E37="Hard"</formula>
    </cfRule>
  </conditionalFormatting>
  <dataValidations count="1">
    <dataValidation allowBlank="true" errorStyle="stop" operator="equal" showDropDown="false" showErrorMessage="true" showInputMessage="false" sqref="E2:E37" type="list">
      <formula1>"Easy,Medium,Hard"</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H14" activeCellId="0" sqref="H14"/>
    </sheetView>
  </sheetViews>
  <sheetFormatPr defaultColWidth="11.53515625" defaultRowHeight="12.8" customHeight="false" zeroHeight="false" outlineLevelRow="0" outlineLevelCol="0"/>
  <cols>
    <col collapsed="false" customWidth="true" hidden="false" outlineLevel="0" max="7" min="7" style="0" width="14.65"/>
    <col collapsed="false" customWidth="true" hidden="false" outlineLevel="0" max="11" min="11" style="0" width="14.51"/>
  </cols>
  <sheetData>
    <row r="1" customFormat="false" ht="12.8" hidden="false" customHeight="false" outlineLevel="0" collapsed="false">
      <c r="A1" s="14" t="s">
        <v>2</v>
      </c>
      <c r="B1" s="14" t="s">
        <v>134</v>
      </c>
      <c r="D1" s="14"/>
      <c r="E1" s="14" t="s">
        <v>0</v>
      </c>
      <c r="F1" s="14" t="s">
        <v>1</v>
      </c>
      <c r="G1" s="14" t="s">
        <v>135</v>
      </c>
      <c r="H1" s="14" t="s">
        <v>10</v>
      </c>
      <c r="K1" s="15" t="s">
        <v>7</v>
      </c>
      <c r="L1" s="0" t="n">
        <v>1</v>
      </c>
      <c r="O1" s="14" t="s">
        <v>10</v>
      </c>
      <c r="P1" s="14" t="s">
        <v>136</v>
      </c>
      <c r="Q1" s="14" t="s">
        <v>4</v>
      </c>
      <c r="R1" s="14" t="s">
        <v>9</v>
      </c>
    </row>
    <row r="2" customFormat="false" ht="12.8" hidden="false" customHeight="false" outlineLevel="0" collapsed="false">
      <c r="A2" s="0" t="s">
        <v>49</v>
      </c>
      <c r="B2" s="0" t="s">
        <v>24</v>
      </c>
      <c r="D2" s="0" t="s">
        <v>14</v>
      </c>
      <c r="E2" s="0" t="s">
        <v>28</v>
      </c>
      <c r="F2" s="0" t="s">
        <v>13</v>
      </c>
      <c r="G2" s="0" t="str">
        <f aca="false">_xlfn.CONCAT(E2,F2)</f>
        <v>RelevanceFame</v>
      </c>
      <c r="H2" s="0" t="s">
        <v>137</v>
      </c>
      <c r="K2" s="15" t="s">
        <v>6</v>
      </c>
      <c r="L2" s="0" t="n">
        <v>2</v>
      </c>
      <c r="O2" s="0" t="s">
        <v>16</v>
      </c>
      <c r="P2" s="16" t="n">
        <v>0.75</v>
      </c>
      <c r="Q2" s="0" t="n">
        <v>1</v>
      </c>
      <c r="R2" s="0" t="n">
        <v>10</v>
      </c>
    </row>
    <row r="3" customFormat="false" ht="12.8" hidden="false" customHeight="false" outlineLevel="0" collapsed="false">
      <c r="A3" s="0" t="s">
        <v>29</v>
      </c>
      <c r="B3" s="0" t="s">
        <v>13</v>
      </c>
      <c r="D3" s="0" t="s">
        <v>14</v>
      </c>
      <c r="E3" s="0" t="s">
        <v>28</v>
      </c>
      <c r="F3" s="0" t="s">
        <v>20</v>
      </c>
      <c r="G3" s="0" t="str">
        <f aca="false">_xlfn.CONCAT(E3,F3)</f>
        <v>RelevanceMoney</v>
      </c>
      <c r="H3" s="0" t="s">
        <v>138</v>
      </c>
      <c r="O3" s="0" t="s">
        <v>60</v>
      </c>
      <c r="P3" s="16" t="n">
        <v>0.6</v>
      </c>
      <c r="Q3" s="0" t="n">
        <v>2</v>
      </c>
      <c r="R3" s="0" t="n">
        <v>25</v>
      </c>
    </row>
    <row r="4" customFormat="false" ht="12.8" hidden="false" customHeight="false" outlineLevel="0" collapsed="false">
      <c r="A4" s="0" t="s">
        <v>39</v>
      </c>
      <c r="B4" s="0" t="s">
        <v>20</v>
      </c>
      <c r="D4" s="0" t="s">
        <v>14</v>
      </c>
      <c r="E4" s="0" t="s">
        <v>28</v>
      </c>
      <c r="F4" s="0" t="s">
        <v>24</v>
      </c>
      <c r="G4" s="0" t="str">
        <f aca="false">_xlfn.CONCAT(E4,F4)</f>
        <v>RelevanceFun</v>
      </c>
      <c r="H4" s="0" t="s">
        <v>139</v>
      </c>
      <c r="O4" s="0" t="s">
        <v>97</v>
      </c>
      <c r="P4" s="16" t="n">
        <v>0.45</v>
      </c>
      <c r="Q4" s="0" t="n">
        <v>3</v>
      </c>
      <c r="R4" s="0" t="n">
        <v>40</v>
      </c>
    </row>
    <row r="5" customFormat="false" ht="12.8" hidden="false" customHeight="false" outlineLevel="0" collapsed="false">
      <c r="A5" s="0" t="s">
        <v>14</v>
      </c>
      <c r="B5" s="0" t="s">
        <v>28</v>
      </c>
      <c r="D5" s="0" t="s">
        <v>29</v>
      </c>
      <c r="E5" s="0" t="s">
        <v>13</v>
      </c>
      <c r="F5" s="0" t="s">
        <v>28</v>
      </c>
      <c r="G5" s="0" t="str">
        <f aca="false">_xlfn.CONCAT(E5,F5)</f>
        <v>FameRelevance</v>
      </c>
      <c r="H5" s="0" t="s">
        <v>140</v>
      </c>
    </row>
    <row r="6" customFormat="false" ht="12.8" hidden="false" customHeight="false" outlineLevel="0" collapsed="false">
      <c r="D6" s="0" t="s">
        <v>29</v>
      </c>
      <c r="E6" s="0" t="s">
        <v>13</v>
      </c>
      <c r="F6" s="0" t="s">
        <v>20</v>
      </c>
      <c r="G6" s="0" t="str">
        <f aca="false">_xlfn.CONCAT(E6,F6)</f>
        <v>FameMoney</v>
      </c>
      <c r="H6" s="0" t="s">
        <v>141</v>
      </c>
      <c r="K6" s="17" t="s">
        <v>142</v>
      </c>
      <c r="L6" s="0" t="n">
        <v>-1</v>
      </c>
    </row>
    <row r="7" customFormat="false" ht="12.8" hidden="false" customHeight="false" outlineLevel="0" collapsed="false">
      <c r="D7" s="0" t="s">
        <v>29</v>
      </c>
      <c r="E7" s="0" t="s">
        <v>13</v>
      </c>
      <c r="F7" s="0" t="s">
        <v>24</v>
      </c>
      <c r="G7" s="0" t="str">
        <f aca="false">_xlfn.CONCAT(E7,F7)</f>
        <v>FameFun</v>
      </c>
      <c r="H7" s="0" t="s">
        <v>143</v>
      </c>
    </row>
    <row r="8" customFormat="false" ht="12.8" hidden="false" customHeight="false" outlineLevel="0" collapsed="false">
      <c r="D8" s="0" t="s">
        <v>39</v>
      </c>
      <c r="E8" s="0" t="s">
        <v>20</v>
      </c>
      <c r="F8" s="0" t="s">
        <v>28</v>
      </c>
      <c r="G8" s="0" t="str">
        <f aca="false">_xlfn.CONCAT(E8,F8)</f>
        <v>MoneyRelevance</v>
      </c>
      <c r="H8" s="0" t="s">
        <v>144</v>
      </c>
    </row>
    <row r="9" customFormat="false" ht="12.8" hidden="false" customHeight="false" outlineLevel="0" collapsed="false">
      <c r="D9" s="0" t="s">
        <v>39</v>
      </c>
      <c r="E9" s="0" t="s">
        <v>20</v>
      </c>
      <c r="F9" s="0" t="s">
        <v>13</v>
      </c>
      <c r="G9" s="0" t="str">
        <f aca="false">_xlfn.CONCAT(E9,F9)</f>
        <v>MoneyFame</v>
      </c>
      <c r="H9" s="0" t="s">
        <v>145</v>
      </c>
    </row>
    <row r="10" customFormat="false" ht="12.8" hidden="false" customHeight="false" outlineLevel="0" collapsed="false">
      <c r="D10" s="0" t="s">
        <v>39</v>
      </c>
      <c r="E10" s="0" t="s">
        <v>20</v>
      </c>
      <c r="F10" s="0" t="s">
        <v>24</v>
      </c>
      <c r="G10" s="0" t="str">
        <f aca="false">_xlfn.CONCAT(E10,F10)</f>
        <v>MoneyFun</v>
      </c>
      <c r="H10" s="0" t="s">
        <v>146</v>
      </c>
    </row>
    <row r="11" customFormat="false" ht="12.8" hidden="false" customHeight="false" outlineLevel="0" collapsed="false">
      <c r="D11" s="0" t="s">
        <v>49</v>
      </c>
      <c r="E11" s="0" t="s">
        <v>24</v>
      </c>
      <c r="F11" s="0" t="s">
        <v>28</v>
      </c>
      <c r="G11" s="0" t="str">
        <f aca="false">_xlfn.CONCAT(E11,F11)</f>
        <v>FunRelevance</v>
      </c>
      <c r="H11" s="0" t="s">
        <v>147</v>
      </c>
    </row>
    <row r="12" customFormat="false" ht="12.8" hidden="false" customHeight="false" outlineLevel="0" collapsed="false">
      <c r="D12" s="0" t="s">
        <v>49</v>
      </c>
      <c r="E12" s="0" t="s">
        <v>24</v>
      </c>
      <c r="F12" s="0" t="s">
        <v>13</v>
      </c>
      <c r="G12" s="0" t="str">
        <f aca="false">_xlfn.CONCAT(E12,F12)</f>
        <v>FunFame</v>
      </c>
      <c r="H12" s="0" t="s">
        <v>148</v>
      </c>
    </row>
    <row r="13" customFormat="false" ht="12.8" hidden="false" customHeight="false" outlineLevel="0" collapsed="false">
      <c r="D13" s="0" t="s">
        <v>49</v>
      </c>
      <c r="E13" s="0" t="s">
        <v>24</v>
      </c>
      <c r="F13" s="0" t="s">
        <v>20</v>
      </c>
      <c r="G13" s="0" t="str">
        <f aca="false">_xlfn.CONCAT(E13,F13)</f>
        <v>FunMoney</v>
      </c>
      <c r="H13" s="0" t="s">
        <v>56</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556</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2026-06-02T23:54:08Z</dcterms:created>
  <dc:creator/>
  <dc:description/>
  <dc:language>en-GB</dc:language>
  <cp:lastModifiedBy/>
  <dcterms:modified xsi:type="dcterms:W3CDTF">2026-06-08T03:04:19Z</dcterms:modified>
  <cp:revision>42</cp:revision>
  <dc:subject/>
  <dc:title/>
</cp:coreProperties>
</file>